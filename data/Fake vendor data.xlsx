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peducation-my.sharepoint.com/personal/ari_maidenberg_idp_com/Documents/Documents/"/>
    </mc:Choice>
  </mc:AlternateContent>
  <xr:revisionPtr revIDLastSave="227" documentId="8_{8390947C-2155-4C55-93C0-51CFECD713CC}" xr6:coauthVersionLast="47" xr6:coauthVersionMax="47" xr10:uidLastSave="{E15EA202-8A7B-488F-B7C5-E1B9D805A76A}"/>
  <bookViews>
    <workbookView xWindow="-120" yWindow="-120" windowWidth="29040" windowHeight="15720" activeTab="1" xr2:uid="{723494AD-E188-4F65-B3FB-7B514A516628}"/>
    <workbookView xWindow="28680" yWindow="-120" windowWidth="29040" windowHeight="15720" activeTab="2" xr2:uid="{AD76CD70-4E52-4D47-B34A-715ED5D3D3A8}"/>
  </bookViews>
  <sheets>
    <sheet name="Fake Live Dashboard" sheetId="32" r:id="rId1"/>
    <sheet name="Snapshot Wk 1" sheetId="34" r:id="rId2"/>
    <sheet name="Snapshot Wk 2" sheetId="33" r:id="rId3"/>
    <sheet name="Fake Simplified View" sheetId="30" r:id="rId4"/>
    <sheet name="Summary JT" sheetId="20" state="hidden" r:id="rId5"/>
    <sheet name="FY27 Budget Template" sheetId="13" state="hidden" r:id="rId6"/>
  </sheets>
  <definedNames>
    <definedName name="__123Graph_APIS" hidden="1">#REF!</definedName>
    <definedName name="_1_________123Graph_ATEILM_RKTE" hidden="1">#REF!</definedName>
    <definedName name="_1___123Graph_ATEILM_RKTE" hidden="1">#REF!</definedName>
    <definedName name="_1__123Graph_ATEILM_RKTE" hidden="1">#REF!</definedName>
    <definedName name="_10______123Graph_ATEILM_RKTE" hidden="1">#REF!</definedName>
    <definedName name="_11______123Graph_ATEILM_RKTE2" hidden="1">#REF!</definedName>
    <definedName name="_12______123Graph_XTEILM_RKTE2" hidden="1">#REF!</definedName>
    <definedName name="_13_____123Graph_ATEILM_RKTE" hidden="1">#REF!</definedName>
    <definedName name="_19___123Graph_ATEILM_RKTE" hidden="1">#REF!</definedName>
    <definedName name="_2___123Graph_ATEILM_RKTE2" hidden="1">#REF!</definedName>
    <definedName name="_2__123Graph_ATEILM_RKTE2" hidden="1">#REF!</definedName>
    <definedName name="_20___123Graph_ATEILM_RKTE2" hidden="1">#REF!</definedName>
    <definedName name="_22__123Graph_ATEILM_RKTE" hidden="1">#REF!</definedName>
    <definedName name="_23__123Graph_ATEILM_RKTE2" hidden="1">#REF!</definedName>
    <definedName name="_24__123Graph_XTEILM_RKTE2" hidden="1">#REF!</definedName>
    <definedName name="_3___123Graph_XTEILM_RKTE2" hidden="1">#REF!</definedName>
    <definedName name="_3__123Graph_XTEILM_RKTE2" hidden="1">#REF!</definedName>
    <definedName name="_4________123Graph_ATEILM_RKTE" hidden="1">#REF!</definedName>
    <definedName name="_4__123Graph_ATEILM_RKTE" hidden="1">#REF!</definedName>
    <definedName name="_5________123Graph_ATEILM_RKTE2" hidden="1">#REF!</definedName>
    <definedName name="_5__123Graph_ATEILM_RKTE2" hidden="1">#REF!</definedName>
    <definedName name="_6________123Graph_XTEILM_RKTE2" hidden="1">#REF!</definedName>
    <definedName name="_6__123Graph_XTEILM_RKTE2" hidden="1">#REF!</definedName>
    <definedName name="_7_______123Graph_ATEILM_RKTE" hidden="1">#REF!</definedName>
    <definedName name="_8_______123Graph_ATEILM_RKTE2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3" hidden="1">'Fake Simplified View'!$A$1:$L$143</definedName>
    <definedName name="_xlnm._FilterDatabase" localSheetId="5" hidden="1">'FY27 Budget Template'!$A$3:$P$248</definedName>
    <definedName name="_xlnm._FilterDatabase" localSheetId="4" hidden="1">'Summary JT'!$H$1:$AA$1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Parse_Out" hidden="1">#REF!</definedName>
    <definedName name="_Sort" hidden="1">#REF!</definedName>
    <definedName name="_xleta.T" hidden="1">#NAME?</definedName>
    <definedName name="AAA_DOCTOPS" hidden="1">"AAA_SET"</definedName>
    <definedName name="AAA_duser" hidden="1">"OFF"</definedName>
    <definedName name="AAAAA" hidden="1">#REF!</definedName>
    <definedName name="AAB_Addin5" hidden="1">"AAB_Description for addin 5,Description for addin 5,Description for addin 5,Description for addin 5,Description for addin 5,Description for addin 5"</definedName>
    <definedName name="AS2DocOpenMode" hidden="1">"AS2DocumentEdit"</definedName>
    <definedName name="AS2NamedRange" hidden="1">3</definedName>
    <definedName name="AS2ReportLS" hidden="1">1</definedName>
    <definedName name="BG_Ins" hidden="1">4</definedName>
    <definedName name="BG_Mod" hidden="1">6</definedName>
    <definedName name="CIQWBGuid" hidden="1">"Project Rib Finance Workstream Questions Register 09112020.xlsx"</definedName>
    <definedName name="e" hidden="1">#REF!</definedName>
    <definedName name="EPMWorkbookOptions_1" hidden="1">"qEwAAB|LCAAAAAAABADtvQdgHEmWJSYvbcp7f0r1StfgdKEIgGATJNiQQBDswYjN5pLsHWlHIymrKoHKZVZlXWYWQMztnbz33nvvvffee||997o7nU4n99//P1xmZAFs9s5K2smeIYCqyB8/fnwfPyIe/x7vFmV6mddNUS0/|2h3vPNRmi|n1axYXnz20bo939799KPf4|g3Th5/t6rfTqrq7Zerlpo2Kb23bB69a4rPPpq37erR3btXV1fjq3v"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"jqr64u7ezs3v39/7i|evpPF9k28WyabPlNP/IvjW7|a2PqNc0fXxSLZf5FH2|qU7WdZ0v258s8iv|Mvj6adZm|il9/iJb5NKb7anNF6t1XXBXXzV5/bLOz3OCN83HhNBHR7//s5df/P5PXp68|O7uzu//PX1pMl1Nip298Xk2acaTumiLZj6t1stpUQLQo4OdnYO7Tba6O1lN737/9//ek3VTLPOmeVlmyyURkT56Viz9T|mT86xs8u8/vgskHc"</definedName>
    <definedName name="EPMWorkbookOptions_3" hidden="1">"rHq1VZTDOPvLdG3cAIoXgfK0WOOrh0UBCKOiKndwe/|nYxm|XLp8UiXzaM8HBTh2wTtKFWr|fVlYVxUpVVfdTW6/zx3cgXm17lUUTe7I1OXySuafN37bPssqIpJbx4RuTl3ne3eP9ZUTeth0D8|w4gi|UwgW7bym/31bL4ReucR3781dOzN29eHZ89f3w39v0mMEJ0Ev/7O7v3DnY9ALHp4He/rGd5fbTz|K78EoXerMrs|mVdrfK6vT7avf/p/"</definedName>
    <definedName name="EPMWorkbookOptions_4" hidden="1">"fN8cr59/9PZ/vb|3vnD7YP7eb69k|V7|7PJg/0Hk3voOXwrAvh51rSv85I0QT77Il9MSKFFmoV8GW1ATeR9j0zfc3T8/vh7L49fnb548|1d/Prl6zfp8fPnX54cvzl9SgLde3Wgi28XeZ3V0/m1a5qSKn20LMrPPgIbfdSRJ|/dyETe7t3Hd28a/DdLHfn8yzfHz39EmZAyZy9efvXm/|tEeXz3NkLn6Y2fNTUH6fv8y1e/z9dXcjs7|2TIb6/j"</definedName>
    <definedName name="EPMWorkbookOptions_5" hidden="1">"dv//p|MMEYk96X|vTj8/|/LF/9dZ9Juhxcvnxz|iBFPiyfHr0|dnL05/RA1Q4/jkzVf/37dt/|9R469evjn56hUZyZOvr8nv3bt/f39///aafO//f5rco6Mw6udPXv5/nUu/MVqcfvXq/|u0|H|PxL45||L0a4vqpw92dw4OHtxeVO/9/09UQcAwNNjb2d0f/7wOmgZosrv3I4I4gux8|v8PJvl/jy77Kcr8/v7k0p395NdXaRRHfvrpvXvvEUj"</definedName>
    <definedName name="EPMWorkbookOptions_6" hidden="1">"u//9Pp3mEDLmWGRbf/H|dab9xypy9|Mkf0aRDk5|iD3//F1/|fz/Y/H|ZiqP/f4CCe|/VgPv/P1VwIGMn3f3/dUb9humBj09/JMHfvAQ/|y4tOX1DInwbEf70/6cizHSMuSjPvvv/dY79puny|tv/n8|afNMkeXbyI5J0SPL5y2f/XyfJ/8tU/ZdPibo/TF3/4P|nul4IGVP29M3/15n2G6fMzo8o0qHI7v/XKfL/MsX28hXR9viHqNgO/n|q2I"</definedName>
    <definedName name="EPMWorkbookOptions_7" hidden="1">"SQIbPKZ7//jxLEPxt8|52TL1/8EPn24f9v|RaE7PItPvv/B99|88T5zs/vvHmMJj9KLv1sKLjXbz7/ISq43Z330HD7Dx7e2zvf/3R78mCySxpu58H25NOH97ZnD88fZLsHWZbls/8XaTiiZE/D0Wc/0nBR4rw||faPaNKhyZOTHym4oNmtWm1WcF8|O3tz8ubVD1PH7b6Hjvv/lhenxOws/Zwc7748ub|7w8//1xn4Z4NClDv9/V|dfn725YvXP"</definedName>
    <definedName name="EPMWorkbookOptions_8" hidden="1">"yLPEAPtPvwRA91AoQcsY/|fz0797FHo9z998fn/16nz/zIL|vucHv9Qjefe/0|NJ|gYsuzezu7|D5dZv3lm/eZJcv9HJOmS5N6PSNIlyac/IkmHJDv/n|eS/5cZvtenJ2||/KGavnv/PzV9QsmOvyYf/v7/f0jqfuPEOXv96uT/60T5f480f3F6/PqrV6evf5iivP//P1E2ZCT|BLeevjr78unZj9j0vRoF2MQbPb57vFqVxTRrCY79PPjUNCdo"</definedName>
    <definedName name="EPMWorkbookOptions_9" hidden="1">"1XJJiNNnT7M244/9D99U3cE/fpWf13kz/3L55SpfHoFyj||Gn3GzkzLPasD8cvk6u8yPzrOyoZbdj7ntd6v67aSq3hJrtkxF07r/Rdj|asaT5hp|uZLh/T|9QQNYqEwAAA=="</definedName>
    <definedName name="f" hidden="1">#REF!</definedName>
    <definedName name="fdef" hidden="1">#REF!</definedName>
    <definedName name="HTML_CodePage" hidden="1">949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4" hidden="1">TRUE</definedName>
    <definedName name="HTML_OS" hidden="1">0</definedName>
    <definedName name="HTML_PathFile" hidden="1">"D:\내문서\MyHTML.htm"</definedName>
    <definedName name="HTML_Title" hidden="1">"diamonds"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T_BR" hidden="1">"c378"</definedName>
    <definedName name="IQ_EBT_EXCL_BR" hidden="1">"c381"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ACRO_SURVEY_CONSUMER_SENTIMENT" hidden="1">"c20808"</definedName>
    <definedName name="IQ_MATURITY_ONE_YEAR_LESS_FDIC" hidden="1">"c6425"</definedName>
    <definedName name="IQ_MERGER_BR" hidden="1">"c715"</definedName>
    <definedName name="IQ_MERGER_RESTRUCTURE_BR" hidden="1">"c721"</definedName>
    <definedName name="IQ_MINORITY_INTEREST_BR" hidden="1">"c729"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41820.4725115741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MINING_REVENUE_COAL" hidden="1">"c15931"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C_WRITTEN" hidden="1">"c1027"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ROYALTY_REVENUE_COAL" hidden="1">"c15932"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k" hidden="1">#REF!</definedName>
    <definedName name="KEY" hidden="1">#REF!</definedName>
    <definedName name="l" hidden="1">#REF!</definedName>
    <definedName name="opee" hidden="1">#REF!</definedName>
    <definedName name="PopCache_FA_MASS_ADDITIONS_AMORTIZE_NBV_FLAG" hidden="1">#REF!</definedName>
    <definedName name="PopCache_FA_MASS_ADDITIONS_ASSET_TYPE" hidden="1">#REF!</definedName>
    <definedName name="PopCache_FA_MASS_ADDITIONS_DEPRECIATE_FLAG" hidden="1">#REF!</definedName>
    <definedName name="PopCache_FA_MASS_ADDITIONS_IN_USE_FLAG" hidden="1">#REF!</definedName>
    <definedName name="PopCache_FA_MASS_ADDITIONS_INVENTORIAL" hidden="1">#REF!</definedName>
    <definedName name="PopCache_FA_MASS_ADDITIONS_NEW_USED" hidden="1">#REF!</definedName>
    <definedName name="PopCache_FA_MASS_ADDITIONS_OWNED_LEASED" hidden="1">#REF!</definedName>
    <definedName name="PopCache_FA_MASS_ADDITIONS_PROPERTY_1245_1250_CODE" hidden="1">#REF!</definedName>
    <definedName name="PopCache_FA_MASS_ADDITIONS_PROPERTY_TYPE_CODE" hidden="1">#REF!</definedName>
    <definedName name="PopCache_FA_MASS_ADDITIONS_SHORT_FISCAL_YEAR_FLAG" hidden="1">#REF!</definedName>
    <definedName name="q" hidden="1">#REF!</definedName>
    <definedName name="RT" hidden="1">#REF!</definedName>
    <definedName name="SAPBEXdnldView" hidden="1">"4A8JNZBRQWCKGDOTUE0HXJN52"</definedName>
    <definedName name="SAPBEXsysID" hidden="1">"PSE"</definedName>
    <definedName name="SS" hidden="1">#REF!</definedName>
    <definedName name="SSS" hidden="1">#REF!</definedName>
    <definedName name="TextRefCopyRangeCount" hidden="1">42</definedName>
    <definedName name="w" hidden="1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" hidden="1">#REF!</definedName>
    <definedName name="XRefCopy20Row" hidden="1">#REF!</definedName>
    <definedName name="XRefCopy21Row" hidden="1">#REF!</definedName>
    <definedName name="XRefCopy22Row" hidden="1">#REF!</definedName>
    <definedName name="XRefCopy24" hidden="1">#REF!</definedName>
    <definedName name="XRefCopy24Row" hidden="1">#REF!</definedName>
    <definedName name="XRefCopy25" hidden="1">#REF!</definedName>
    <definedName name="XRefCopy26" hidden="1">#REF!</definedName>
    <definedName name="XRefCopy26Row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RangeCount" hidden="1">6</definedName>
    <definedName name="XRefPaste1" hidden="1">#REF!</definedName>
    <definedName name="XRefPaste10Row" hidden="1">#REF!</definedName>
    <definedName name="XRefPaste11" hidden="1">#REF!</definedName>
    <definedName name="XRefPaste11Row" hidden="1">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Row" hidden="1">#REF!</definedName>
    <definedName name="XRefPaste7Row" hidden="1">#REF!</definedName>
    <definedName name="XRefPaste8Row" hidden="1">#REF!</definedName>
    <definedName name="XRefPaste9Row" hidden="1">#REF!</definedName>
    <definedName name="XRefPasteRangeCount" hidden="1">2</definedName>
    <definedName name="제조" hidden="1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0" i="32" l="1" a="1"/>
  <c r="A26" i="32" a="1"/>
  <c r="G23" i="32"/>
  <c r="F23" i="32"/>
  <c r="E23" i="32"/>
  <c r="D23" i="32"/>
  <c r="C23" i="32"/>
  <c r="B23" i="32"/>
  <c r="E22" i="32"/>
  <c r="C22" i="32"/>
  <c r="B22" i="32"/>
  <c r="E21" i="32"/>
  <c r="C21" i="32"/>
  <c r="B21" i="32"/>
  <c r="F16" i="32" a="1"/>
  <c r="F15" i="32" a="1"/>
  <c r="E15" i="32" a="1"/>
  <c r="D15" i="32" a="1"/>
  <c r="C15" i="32" a="1"/>
  <c r="B15" i="32" a="1"/>
  <c r="F14" i="32" a="1"/>
  <c r="D14" i="32" a="1"/>
  <c r="C14" i="32" a="1"/>
  <c r="B14" i="32" a="1"/>
  <c r="F13" i="32" a="1"/>
  <c r="E13" i="32" a="1"/>
  <c r="D13" i="32" a="1"/>
  <c r="C13" i="32" a="1"/>
  <c r="B13" i="32" a="1"/>
  <c r="F12" i="32" a="1"/>
  <c r="E12" i="32" a="1"/>
  <c r="D12" i="32" a="1"/>
  <c r="C12" i="32" a="1"/>
  <c r="B12" i="32" a="1"/>
  <c r="H143" i="30"/>
  <c r="H142" i="30"/>
  <c r="H141" i="30"/>
  <c r="G147" i="32" s="1" a="1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H121" i="30"/>
  <c r="H120" i="30"/>
  <c r="H119" i="30"/>
  <c r="H118" i="30"/>
  <c r="H117" i="30"/>
  <c r="H116" i="30"/>
  <c r="H115" i="30"/>
  <c r="H114" i="30"/>
  <c r="H113" i="30"/>
  <c r="H111" i="30"/>
  <c r="H110" i="30"/>
  <c r="H109" i="30"/>
  <c r="H108" i="30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3" i="30"/>
  <c r="H71" i="30"/>
  <c r="H70" i="30"/>
  <c r="H69" i="30"/>
  <c r="H68" i="30"/>
  <c r="H67" i="30"/>
  <c r="H66" i="30"/>
  <c r="H65" i="30"/>
  <c r="H64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H4" i="30"/>
  <c r="H3" i="30"/>
  <c r="H2" i="30"/>
  <c r="G22" i="32" l="1"/>
  <c r="A180" i="32" a="1"/>
  <c r="B17" i="32" a="1"/>
  <c r="G21" i="32"/>
  <c r="F21" i="32"/>
  <c r="D21" i="32"/>
  <c r="F17" i="32" a="1"/>
  <c r="E16" i="32" a="1"/>
  <c r="D16" i="32" a="1"/>
  <c r="C16" i="32" a="1"/>
  <c r="B16" i="32" a="1"/>
  <c r="E17" i="32" a="1"/>
  <c r="C17" i="32" a="1"/>
  <c r="A147" i="32" a="1"/>
  <c r="G31" i="32" a="1"/>
  <c r="D22" i="32"/>
  <c r="D24" i="32" s="1"/>
  <c r="F22" i="32"/>
  <c r="F24" i="32" s="1"/>
  <c r="G16" i="32" s="1"/>
  <c r="D17" i="32" a="1"/>
  <c r="E14" i="32" a="1"/>
  <c r="A31" i="32" a="1"/>
  <c r="G24" i="32"/>
  <c r="G17" i="32" s="1"/>
  <c r="E24" i="32"/>
  <c r="C24" i="32"/>
  <c r="B24" i="32"/>
  <c r="G15" i="32" l="1"/>
  <c r="I5" i="32"/>
  <c r="G5" i="32"/>
  <c r="G14" i="32"/>
  <c r="A5" i="32"/>
  <c r="G12" i="32"/>
  <c r="D5" i="32"/>
  <c r="A7" i="32" s="1"/>
  <c r="G13" i="32"/>
  <c r="V34" i="20" l="1"/>
  <c r="U34" i="20"/>
  <c r="T34" i="20"/>
  <c r="S34" i="20"/>
  <c r="R34" i="20"/>
  <c r="Q34" i="20"/>
  <c r="P34" i="20"/>
  <c r="O34" i="20"/>
  <c r="N34" i="20"/>
  <c r="M34" i="20"/>
  <c r="L34" i="20"/>
  <c r="K34" i="20"/>
  <c r="Z33" i="20"/>
  <c r="Y33" i="20"/>
  <c r="X33" i="20"/>
  <c r="AA33" i="20" s="1"/>
  <c r="W33" i="20"/>
  <c r="Z32" i="20"/>
  <c r="Y32" i="20"/>
  <c r="AA32" i="20" s="1"/>
  <c r="X32" i="20"/>
  <c r="W32" i="20"/>
  <c r="Z31" i="20"/>
  <c r="AA31" i="20" s="1"/>
  <c r="Y31" i="20"/>
  <c r="X31" i="20"/>
  <c r="W31" i="20"/>
  <c r="Z30" i="20"/>
  <c r="Z34" i="20" s="1"/>
  <c r="Y30" i="20"/>
  <c r="Y34" i="20" s="1"/>
  <c r="X30" i="20"/>
  <c r="X34" i="20" s="1"/>
  <c r="W30" i="20"/>
  <c r="AA30" i="20" s="1"/>
  <c r="V27" i="20"/>
  <c r="U27" i="20"/>
  <c r="T27" i="20"/>
  <c r="S27" i="20"/>
  <c r="R27" i="20"/>
  <c r="Q27" i="20"/>
  <c r="P27" i="20"/>
  <c r="O27" i="20"/>
  <c r="N27" i="20"/>
  <c r="M27" i="20"/>
  <c r="L27" i="20"/>
  <c r="K27" i="20"/>
  <c r="Z26" i="20"/>
  <c r="AA26" i="20" s="1"/>
  <c r="Y26" i="20"/>
  <c r="X26" i="20"/>
  <c r="W26" i="20"/>
  <c r="Z25" i="20"/>
  <c r="Y25" i="20"/>
  <c r="X25" i="20"/>
  <c r="W25" i="20"/>
  <c r="AA25" i="20" s="1"/>
  <c r="Z24" i="20"/>
  <c r="Y24" i="20"/>
  <c r="X24" i="20"/>
  <c r="W24" i="20"/>
  <c r="AA24" i="20" s="1"/>
  <c r="Z23" i="20"/>
  <c r="AA23" i="20" s="1"/>
  <c r="Y23" i="20"/>
  <c r="X23" i="20"/>
  <c r="W23" i="20"/>
  <c r="Z22" i="20"/>
  <c r="Y22" i="20"/>
  <c r="X22" i="20"/>
  <c r="W22" i="20"/>
  <c r="AA22" i="20" s="1"/>
  <c r="Z21" i="20"/>
  <c r="Y21" i="20"/>
  <c r="X21" i="20"/>
  <c r="W21" i="20"/>
  <c r="AA21" i="20" s="1"/>
  <c r="Z20" i="20"/>
  <c r="Y20" i="20"/>
  <c r="AA20" i="20" s="1"/>
  <c r="X20" i="20"/>
  <c r="W20" i="20"/>
  <c r="AA19" i="20"/>
  <c r="Z19" i="20"/>
  <c r="Y19" i="20"/>
  <c r="X19" i="20"/>
  <c r="W19" i="20"/>
  <c r="Z18" i="20"/>
  <c r="Y18" i="20"/>
  <c r="X18" i="20"/>
  <c r="AA18" i="20" s="1"/>
  <c r="W18" i="20"/>
  <c r="D18" i="20"/>
  <c r="C18" i="20"/>
  <c r="B18" i="20"/>
  <c r="Z17" i="20"/>
  <c r="AA17" i="20" s="1"/>
  <c r="Y17" i="20"/>
  <c r="X17" i="20"/>
  <c r="W17" i="20"/>
  <c r="Z16" i="20"/>
  <c r="Y16" i="20"/>
  <c r="X16" i="20"/>
  <c r="W16" i="20"/>
  <c r="AA16" i="20" s="1"/>
  <c r="Z15" i="20"/>
  <c r="Y15" i="20"/>
  <c r="X15" i="20"/>
  <c r="W15" i="20"/>
  <c r="AA15" i="20" s="1"/>
  <c r="Z14" i="20"/>
  <c r="Y14" i="20"/>
  <c r="X14" i="20"/>
  <c r="W14" i="20"/>
  <c r="AA14" i="20" s="1"/>
  <c r="D14" i="20"/>
  <c r="C14" i="20"/>
  <c r="B14" i="20"/>
  <c r="Z13" i="20"/>
  <c r="Y13" i="20"/>
  <c r="X13" i="20"/>
  <c r="AA13" i="20" s="1"/>
  <c r="W13" i="20"/>
  <c r="D13" i="20"/>
  <c r="C13" i="20"/>
  <c r="B13" i="20"/>
  <c r="Z12" i="20"/>
  <c r="Y12" i="20"/>
  <c r="X12" i="20"/>
  <c r="W12" i="20"/>
  <c r="AA12" i="20" s="1"/>
  <c r="D12" i="20"/>
  <c r="C12" i="20"/>
  <c r="B12" i="20"/>
  <c r="Z11" i="20"/>
  <c r="Y11" i="20"/>
  <c r="X11" i="20"/>
  <c r="W11" i="20"/>
  <c r="AA11" i="20" s="1"/>
  <c r="D11" i="20"/>
  <c r="C11" i="20"/>
  <c r="B11" i="20"/>
  <c r="Z10" i="20"/>
  <c r="Y10" i="20"/>
  <c r="X10" i="20"/>
  <c r="W10" i="20"/>
  <c r="AA10" i="20" s="1"/>
  <c r="Z9" i="20"/>
  <c r="Y9" i="20"/>
  <c r="AA9" i="20" s="1"/>
  <c r="X9" i="20"/>
  <c r="W9" i="20"/>
  <c r="Z8" i="20"/>
  <c r="Y8" i="20"/>
  <c r="X8" i="20"/>
  <c r="W8" i="20"/>
  <c r="AA8" i="20" s="1"/>
  <c r="Z7" i="20"/>
  <c r="Y7" i="20"/>
  <c r="X7" i="20"/>
  <c r="AA7" i="20" s="1"/>
  <c r="W7" i="20"/>
  <c r="D7" i="20"/>
  <c r="C7" i="20"/>
  <c r="B7" i="20"/>
  <c r="Z6" i="20"/>
  <c r="AA6" i="20" s="1"/>
  <c r="Y6" i="20"/>
  <c r="X6" i="20"/>
  <c r="W6" i="20"/>
  <c r="D6" i="20"/>
  <c r="C6" i="20"/>
  <c r="B6" i="20"/>
  <c r="Z5" i="20"/>
  <c r="Y5" i="20"/>
  <c r="X5" i="20"/>
  <c r="W5" i="20"/>
  <c r="AA5" i="20" s="1"/>
  <c r="D5" i="20"/>
  <c r="C5" i="20"/>
  <c r="B5" i="20"/>
  <c r="Z4" i="20"/>
  <c r="Y4" i="20"/>
  <c r="X4" i="20"/>
  <c r="W4" i="20"/>
  <c r="AA4" i="20" s="1"/>
  <c r="D4" i="20"/>
  <c r="C4" i="20"/>
  <c r="B4" i="20"/>
  <c r="Z3" i="20"/>
  <c r="Y3" i="20"/>
  <c r="X3" i="20"/>
  <c r="W3" i="20"/>
  <c r="AA3" i="20" s="1"/>
  <c r="D3" i="20"/>
  <c r="C3" i="20"/>
  <c r="B3" i="20"/>
  <c r="Z2" i="20"/>
  <c r="Z27" i="20" s="1"/>
  <c r="Y2" i="20"/>
  <c r="Y27" i="20" s="1"/>
  <c r="X2" i="20"/>
  <c r="X27" i="20" s="1"/>
  <c r="W2" i="20"/>
  <c r="W27" i="20" s="1"/>
  <c r="E4" i="20" l="1"/>
  <c r="F4" i="20" s="1"/>
  <c r="E14" i="20"/>
  <c r="F14" i="20" s="1"/>
  <c r="B15" i="20"/>
  <c r="C15" i="20"/>
  <c r="D15" i="20"/>
  <c r="E3" i="20"/>
  <c r="F3" i="20" s="1"/>
  <c r="D8" i="20"/>
  <c r="D20" i="20" s="1"/>
  <c r="C8" i="20"/>
  <c r="AA34" i="20"/>
  <c r="AA2" i="20"/>
  <c r="AA27" i="20" s="1"/>
  <c r="E5" i="20"/>
  <c r="E6" i="20"/>
  <c r="F6" i="20" s="1"/>
  <c r="E11" i="20"/>
  <c r="B8" i="20"/>
  <c r="E7" i="20"/>
  <c r="F7" i="20" s="1"/>
  <c r="E12" i="20"/>
  <c r="F12" i="20" s="1"/>
  <c r="W34" i="20"/>
  <c r="E13" i="20"/>
  <c r="F13" i="20" s="1"/>
  <c r="E18" i="20"/>
  <c r="C20" i="20" l="1"/>
  <c r="B20" i="20"/>
  <c r="B24" i="20" s="1"/>
  <c r="E15" i="20"/>
  <c r="E8" i="20"/>
  <c r="F18" i="20"/>
  <c r="F11" i="20"/>
  <c r="F15" i="20" s="1"/>
  <c r="F5" i="20"/>
  <c r="F8" i="20" s="1"/>
  <c r="E20" i="20" l="1"/>
  <c r="F20" i="20"/>
  <c r="P1" i="13" l="1"/>
  <c r="O1" i="13"/>
  <c r="N1" i="13"/>
  <c r="L1" i="13"/>
  <c r="K90" i="13"/>
  <c r="K91" i="13"/>
  <c r="K82" i="13"/>
  <c r="K189" i="13"/>
  <c r="K8" i="13"/>
  <c r="K140" i="13"/>
  <c r="K60" i="13"/>
  <c r="K210" i="13"/>
  <c r="K141" i="13"/>
  <c r="K71" i="13"/>
  <c r="K100" i="13"/>
  <c r="K174" i="13"/>
  <c r="K46" i="13"/>
  <c r="K158" i="13"/>
  <c r="K228" i="13"/>
  <c r="K93" i="13"/>
  <c r="K92" i="13"/>
  <c r="K197" i="13"/>
  <c r="K227" i="13"/>
  <c r="K24" i="13"/>
  <c r="K25" i="13"/>
  <c r="K177" i="13"/>
  <c r="K160" i="13"/>
  <c r="K30" i="13"/>
  <c r="K32" i="13"/>
  <c r="K31" i="13"/>
  <c r="K33" i="13"/>
  <c r="K195" i="13"/>
  <c r="K81" i="13"/>
  <c r="K80" i="13"/>
  <c r="K164" i="13"/>
  <c r="K163" i="13"/>
  <c r="K168" i="13"/>
  <c r="K167" i="13"/>
  <c r="K166" i="13"/>
  <c r="K165" i="13"/>
  <c r="K241" i="13"/>
  <c r="K130" i="13"/>
  <c r="K29" i="13"/>
  <c r="K104" i="13"/>
  <c r="K105" i="13"/>
  <c r="K97" i="13"/>
  <c r="K72" i="13"/>
  <c r="K69" i="13"/>
  <c r="K125" i="13"/>
  <c r="K245" i="13"/>
  <c r="K235" i="13"/>
  <c r="K230" i="13"/>
  <c r="K217" i="13"/>
  <c r="K219" i="13"/>
  <c r="K218" i="13"/>
  <c r="K214" i="13"/>
  <c r="K192" i="13"/>
  <c r="K170" i="13"/>
  <c r="K134" i="13"/>
  <c r="K131" i="13"/>
  <c r="K106" i="13"/>
  <c r="K103" i="13"/>
  <c r="K94" i="13"/>
  <c r="K77" i="13"/>
  <c r="K65" i="13"/>
  <c r="K58" i="13"/>
  <c r="K57" i="13"/>
  <c r="K4" i="13"/>
  <c r="K248" i="13"/>
  <c r="K247" i="13"/>
  <c r="K246" i="13"/>
  <c r="K244" i="13"/>
  <c r="K243" i="13"/>
  <c r="K242" i="13"/>
  <c r="K240" i="13"/>
  <c r="K238" i="13"/>
  <c r="K239" i="13"/>
  <c r="K237" i="13"/>
  <c r="K236" i="13"/>
  <c r="K234" i="13"/>
  <c r="K233" i="13"/>
  <c r="K232" i="13"/>
  <c r="K231" i="13"/>
  <c r="K229" i="13"/>
  <c r="K223" i="13"/>
  <c r="K224" i="13"/>
  <c r="K225" i="13"/>
  <c r="K226" i="13"/>
  <c r="K222" i="13"/>
  <c r="K221" i="13"/>
  <c r="K220" i="13"/>
  <c r="K216" i="13"/>
  <c r="K213" i="13"/>
  <c r="K212" i="13"/>
  <c r="K211" i="13"/>
  <c r="K209" i="13"/>
  <c r="K208" i="13"/>
  <c r="K207" i="13"/>
  <c r="K206" i="13"/>
  <c r="K205" i="13"/>
  <c r="K204" i="13"/>
  <c r="K202" i="13"/>
  <c r="K199" i="13"/>
  <c r="K201" i="13"/>
  <c r="K198" i="13"/>
  <c r="K203" i="13"/>
  <c r="K200" i="13"/>
  <c r="K196" i="13"/>
  <c r="K194" i="13"/>
  <c r="K193" i="13"/>
  <c r="K191" i="13"/>
  <c r="K190" i="13"/>
  <c r="K188" i="13"/>
  <c r="K187" i="13"/>
  <c r="K186" i="13"/>
  <c r="K185" i="13"/>
  <c r="K184" i="13"/>
  <c r="K178" i="13"/>
  <c r="K179" i="13"/>
  <c r="K181" i="13"/>
  <c r="K180" i="13"/>
  <c r="K183" i="13"/>
  <c r="K176" i="13"/>
  <c r="K175" i="13"/>
  <c r="K173" i="13"/>
  <c r="K172" i="13"/>
  <c r="K169" i="13"/>
  <c r="K162" i="13"/>
  <c r="K161" i="13"/>
  <c r="K151" i="13"/>
  <c r="K159" i="13"/>
  <c r="K147" i="13"/>
  <c r="K156" i="13"/>
  <c r="K155" i="13"/>
  <c r="K150" i="13"/>
  <c r="K149" i="13"/>
  <c r="K153" i="13"/>
  <c r="K152" i="13"/>
  <c r="K154" i="13"/>
  <c r="K157" i="13"/>
  <c r="K148" i="13"/>
  <c r="K146" i="13"/>
  <c r="K145" i="13"/>
  <c r="K144" i="13"/>
  <c r="K143" i="13"/>
  <c r="K142" i="13"/>
  <c r="K137" i="13"/>
  <c r="K138" i="13"/>
  <c r="K136" i="13"/>
  <c r="K135" i="13"/>
  <c r="K132" i="13"/>
  <c r="K133" i="13"/>
  <c r="K128" i="13"/>
  <c r="K127" i="13"/>
  <c r="K126" i="13"/>
  <c r="K120" i="13"/>
  <c r="K121" i="13"/>
  <c r="K122" i="13"/>
  <c r="K119" i="13"/>
  <c r="K118" i="13"/>
  <c r="K124" i="13"/>
  <c r="K123" i="13"/>
  <c r="K117" i="13"/>
  <c r="K116" i="13"/>
  <c r="K113" i="13"/>
  <c r="K111" i="13"/>
  <c r="K114" i="13"/>
  <c r="K115" i="13"/>
  <c r="K112" i="13"/>
  <c r="K110" i="13"/>
  <c r="K109" i="13"/>
  <c r="K108" i="13"/>
  <c r="K107" i="13"/>
  <c r="K102" i="13"/>
  <c r="K101" i="13"/>
  <c r="K99" i="13"/>
  <c r="K96" i="13"/>
  <c r="K95" i="13"/>
  <c r="K89" i="13"/>
  <c r="K88" i="13"/>
  <c r="K87" i="13"/>
  <c r="K86" i="13"/>
  <c r="K85" i="13"/>
  <c r="K84" i="13"/>
  <c r="K83" i="13"/>
  <c r="K79" i="13"/>
  <c r="K78" i="13"/>
  <c r="K76" i="13"/>
  <c r="K75" i="13"/>
  <c r="K74" i="13"/>
  <c r="K67" i="13"/>
  <c r="K73" i="13"/>
  <c r="K66" i="13"/>
  <c r="K68" i="13"/>
  <c r="K70" i="13"/>
  <c r="K64" i="13"/>
  <c r="K63" i="13"/>
  <c r="K62" i="13"/>
  <c r="K61" i="13"/>
  <c r="K59" i="13"/>
  <c r="K56" i="13"/>
  <c r="K54" i="13"/>
  <c r="K55" i="13"/>
  <c r="K53" i="13"/>
  <c r="K52" i="13"/>
  <c r="K51" i="13"/>
  <c r="K50" i="13"/>
  <c r="K49" i="13"/>
  <c r="K48" i="13"/>
  <c r="K47" i="13"/>
  <c r="K45" i="13"/>
  <c r="K41" i="13"/>
  <c r="K42" i="13"/>
  <c r="K40" i="13"/>
  <c r="K39" i="13"/>
  <c r="K38" i="13"/>
  <c r="K37" i="13"/>
  <c r="K36" i="13"/>
  <c r="K35" i="13"/>
  <c r="K34" i="13"/>
  <c r="K28" i="13"/>
  <c r="K27" i="13"/>
  <c r="K26" i="13"/>
  <c r="K23" i="13"/>
  <c r="K22" i="13"/>
  <c r="K21" i="13"/>
  <c r="K20" i="13"/>
  <c r="K19" i="13"/>
  <c r="K18" i="13"/>
  <c r="K9" i="13"/>
  <c r="K15" i="13"/>
  <c r="K14" i="13"/>
  <c r="K12" i="13"/>
  <c r="K13" i="13"/>
  <c r="K10" i="13"/>
  <c r="K11" i="13"/>
  <c r="K17" i="13"/>
  <c r="K16" i="13"/>
  <c r="K7" i="13"/>
  <c r="K6" i="13"/>
  <c r="K5" i="13"/>
  <c r="J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tc={6F04AD1D-EDE6-4924-97D0-0E114741C249}</author>
  </authors>
  <commentList>
    <comment ref="AC2" authorId="0" shapeId="0" xr:uid="{6F04AD1D-EDE6-4924-97D0-0E114741C2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@Lewis Lee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Jessy Tang</author>
    <author>tc={17DFD948-AF0E-4305-9A24-D02158D807CE}</author>
    <author>tc={AAE9053F-9649-463F-8A48-B7132C1AC14D}</author>
    <author>tc={86DBF7AD-AA00-4691-AE96-2AF4C70D75E5}</author>
    <author>tc={292BF1EE-1AAD-40D6-BEB0-1E53CF58B2E9}</author>
    <author>tc={2A31322F-8FFA-4E93-BB2A-60A65951E15A}</author>
    <author>tc={C65F08AD-339B-4C9F-9601-94BFB48AF97E}</author>
    <author>Chris Lai</author>
    <author>tc={32295F3D-3C0A-4A0A-A4B4-5E598C7FD1D3}</author>
    <author>tc={AA36816A-642F-4EF1-96DE-9A0E5DB39BA3}</author>
    <author>tc={9B575C10-C610-46DA-B779-BBF16E4F8D31}</author>
    <author>tc={133C2009-D7EE-4CB5-94B2-ECFC9C58C6D6}</author>
    <author>tc={AA466012-E548-412B-A281-01D37EABFAD5}</author>
    <author>tc={B3080B92-14C0-4887-AD16-620EBC32A9EC}</author>
    <author>tc={FDB13232-90C4-40EB-A755-15627147DA31}</author>
    <author>tc={14CE6E5D-B08C-473C-8992-EDF5548B64AA}</author>
    <author>tc={6731C50F-DB79-4016-ACC9-21B594F57683}</author>
    <author>tc={D8137FCA-9C70-4A09-A4E1-86FEF5201BF4}</author>
    <author>tc={13361A89-33D9-48F4-9FF4-79C810E840C1}</author>
    <author>tc={9624D7A7-5AFB-4CBA-9382-7DE62B9539A5}</author>
    <author>tc={B2390365-0AB9-4998-9A2E-76A0013CD060}</author>
    <author>tc={7F0D0DA6-E517-4504-9C5A-7B030F1B863E}</author>
    <author>tc={D2CDC896-4019-47F0-B0AB-A9C4A98555EA}</author>
  </authors>
  <commentList>
    <comment ref="A3" authorId="0" shapeId="0" xr:uid="{26A09130-6697-4E9B-8E3C-6E37DE152C01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Unique Ref # per contract - refer contract register for details.
Prefix "C" - Transfer to Capex.
Prefix "T" - Transfer to Transformation</t>
        </r>
      </text>
    </comment>
    <comment ref="G3" authorId="0" shapeId="0" xr:uid="{2C557DD3-D53D-4E44-B467-EADD6E69F155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8000 - Marketing
8200 - IT Spend
8300 - Admin
8700 - Prof Consultancy
8800 - Communication</t>
        </r>
      </text>
    </comment>
    <comment ref="J6" authorId="0" shapeId="0" xr:uid="{DE2A8A22-128F-4598-8023-5FF40CA9D63C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check contract start &amp; end date</t>
        </r>
      </text>
    </comment>
    <comment ref="O8" authorId="0" shapeId="0" xr:uid="{BD313740-D39D-43C5-AB67-573BB1318A7D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Joel Knight 10/06/26 Teams call: 
consolidate SEO Tooling from regions into Ahrefs. 
1. $13,440 Dragon Metrics budget move to Ahrefs. 
2. $19k gap to SoW. 
3. $5k overall savings</t>
        </r>
      </text>
    </comment>
    <comment ref="F14" authorId="0" shapeId="0" xr:uid="{055A92CA-5FB4-4C42-A17E-4824464287AB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should move from 513 to 418 CDO</t>
        </r>
      </text>
    </comment>
    <comment ref="B24" authorId="1" shapeId="0" xr:uid="{17DFD948-AF0E-4305-9A24-D02158D807CE}">
      <text>
        <t>[Threaded comment]
Your version of Excel allows you to read this threaded comment; however, any edits to it will get removed if the file is opened in a newer version of Excel. Learn more: https://go.microsoft.com/fwlink/?linkid=870924
Comment:
    @Stuart Nickols FYI I'm adding the estimated run cost items from business cases here</t>
      </text>
    </comment>
    <comment ref="B25" authorId="2" shapeId="0" xr:uid="{AAE9053F-9649-463F-8A48-B7132C1AC14D}">
      <text>
        <t>[Threaded comment]
Your version of Excel allows you to read this threaded comment; however, any edits to it will get removed if the file is opened in a newer version of Excel. Learn more: https://go.microsoft.com/fwlink/?linkid=870924
Comment:
    @Stuart Nickols FYI I'm adding the estimated run cost items from business cases here</t>
      </text>
    </comment>
    <comment ref="D52" authorId="3" shapeId="0" xr:uid="{86DBF7AD-AA00-4691-AE96-2AF4C70D75E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@Gavin - to check with Vijay</t>
      </text>
    </comment>
    <comment ref="O52" authorId="4" shapeId="0" xr:uid="{292BF1EE-1AAD-40D6-BEB0-1E53CF58B2E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terminated due to China SP exit. Early termination fees booked to Transformation.</t>
      </text>
    </comment>
    <comment ref="O58" authorId="0" shapeId="0" xr:uid="{B95D4856-51C9-472F-AFF1-F22853E507E4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MT's email 27/05/26 - recharge to project</t>
        </r>
      </text>
    </comment>
    <comment ref="N59" authorId="0" shapeId="0" xr:uid="{15046A7D-E526-4F0F-883A-DC6D11481848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reduce by 1 year as $40k was for 2 years</t>
        </r>
      </text>
    </comment>
    <comment ref="C68" authorId="0" shapeId="0" xr:uid="{856C0C82-D229-488C-B614-C4BE5199F5FC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PO172750 - cancelled
INV# SIN000290470
CN # SCN000009603</t>
        </r>
      </text>
    </comment>
    <comment ref="L72" authorId="5" shapeId="0" xr:uid="{2A31322F-8FFA-4E93-BB2A-60A65951E15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@Lewis - based on your comment, ok to remove this line since it is budgeted in staff?</t>
      </text>
    </comment>
    <comment ref="O78" authorId="0" shapeId="0" xr:uid="{9B4D8E27-5F0E-402B-A57F-59B35D597A29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Joel Knight 10/06/26 Teams call: consolidate into Ahrefs as part of SEO Tooling consol</t>
        </r>
      </text>
    </comment>
    <comment ref="N87" authorId="0" shapeId="0" xr:uid="{41D2AF06-22D3-4EEB-A05A-1B3C3B008F1C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adjusted in Jun27 - amortised over 12mths</t>
        </r>
      </text>
    </comment>
    <comment ref="B96" authorId="6" shapeId="0" xr:uid="{C65F08AD-339B-4C9F-9601-94BFB48AF97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@Jayakumar V R - please provide FY27Budget.  This is charged via @Gavin Harris ‘s credit card</t>
      </text>
    </comment>
    <comment ref="O108" authorId="0" shapeId="0" xr:uid="{3AE53FDA-690E-4086-A943-95B262DDD26C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shankar's email 05/06/26 from ABi</t>
        </r>
      </text>
    </comment>
    <comment ref="D109" authorId="7" shapeId="0" xr:uid="{B37B9CAD-C751-4E7E-B606-3C35656EF205}">
      <text>
        <r>
          <rPr>
            <b/>
            <sz val="9"/>
            <color indexed="81"/>
            <rFont val="Tahoma"/>
            <family val="2"/>
          </rPr>
          <t>Chris Lai:</t>
        </r>
        <r>
          <rPr>
            <sz val="9"/>
            <color indexed="81"/>
            <rFont val="Tahoma"/>
            <family val="2"/>
          </rPr>
          <t xml:space="preserve">
To check with Om</t>
        </r>
      </text>
    </comment>
    <comment ref="N112" authorId="0" shapeId="0" xr:uid="{4CDD7FDD-4696-4D9A-8732-F2EC21F4DB95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FY26 $ was expensed fully in FY25.
consideration: Claude</t>
        </r>
      </text>
    </comment>
    <comment ref="N113" authorId="0" shapeId="0" xr:uid="{4E5AE861-5733-49B4-8C69-F310A0EFFEB7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FY26 $ was expensed fully in FY25.
consideration: claude</t>
        </r>
      </text>
    </comment>
    <comment ref="N114" authorId="0" shapeId="0" xr:uid="{FC47BE29-9B39-420C-A37D-4D42C9511428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committed. Cant reduce. Renewal Mar27.
consideration: E5 licences that comes with storage</t>
        </r>
      </text>
    </comment>
    <comment ref="E118" authorId="8" shapeId="0" xr:uid="{32295F3D-3C0A-4A0A-A4B4-5E598C7FD1D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@Jessy Tang I have been advised Lewis DW is taking this over
Reply:
    @Lewis Lee  are u ok that I move this to 517?
Reply:
    I’ve not been advised yet. Have pinged Samba about this one. Only agreed on UPS.
Reply:
    Chatted to Samba, good to pick up</t>
      </text>
    </comment>
    <comment ref="E119" authorId="9" shapeId="0" xr:uid="{AA36816A-642F-4EF1-96DE-9A0E5DB39BA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@Jessy Tang I have been advised Lewis DW is taking this over
Reply:
    @Lewis Lee  are u ok that I move this to 517?
Reply:
    I’ve not been advised yet. Have pinged Samba about this one. Only agreed on UPS.
Reply:
    Chatted to Samba, good to pick up</t>
      </text>
    </comment>
    <comment ref="C122" authorId="10" shapeId="0" xr:uid="{9B575C10-C610-46DA-B779-BBF16E4F8D31}">
      <text>
        <t>[Threaded comment]
Your version of Excel allows you to read this threaded comment; however, any edits to it will get removed if the file is opened in a newer version of Excel. Learn more: https://go.microsoft.com/fwlink/?linkid=870924
Comment:
    @Sheree - to confirm with finance on % split</t>
      </text>
    </comment>
    <comment ref="E123" authorId="11" shapeId="0" xr:uid="{133C2009-D7EE-4CB5-94B2-ECFC9C58C6D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@Jessy Tang I have been advised Lewis under DW is taking this over
Reply:
    @Lewis Lee are u ok that I move this to 517?</t>
      </text>
    </comment>
    <comment ref="E124" authorId="12" shapeId="0" xr:uid="{AA466012-E548-412B-A281-01D37EABFAD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@Jessy Tang I have been advised Lewis under DW is taking this over
Reply:
    @Lewis Lee are u ok that I move this to 517?</t>
      </text>
    </comment>
    <comment ref="E125" authorId="13" shapeId="0" xr:uid="{B3080B92-14C0-4887-AD16-620EBC32A9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@Jessy Tang This now belongs to Lewis DW
Reply:
    @Lewis Lee  are u ok that I move this to 517?
Reply:
    I’m good with that. Samba just pinged me today. Doesn’t really matter where it sits to me as long as we capture the cost/budget.</t>
      </text>
    </comment>
    <comment ref="A130" authorId="0" shapeId="0" xr:uid="{85B34FEA-E3CE-4CC3-A947-FA380D380617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FY26 Budgeted but not spent</t>
        </r>
      </text>
    </comment>
    <comment ref="C132" authorId="14" shapeId="0" xr:uid="{FDB13232-90C4-40EB-A755-15627147DA31}">
      <text>
        <t>[Threaded comment]
Your version of Excel allows you to read this threaded comment; however, any edits to it will get removed if the file is opened in a newer version of Excel. Learn more: https://go.microsoft.com/fwlink/?linkid=870924
Comment:
    @Sheree - to check with finance on % split</t>
      </text>
    </comment>
    <comment ref="C142" authorId="15" shapeId="0" xr:uid="{14CE6E5D-B08C-473C-8992-EDF5548B64AA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Lucid with the e?</t>
      </text>
    </comment>
    <comment ref="B177" authorId="16" shapeId="0" xr:uid="{6731C50F-DB79-4016-ACC9-21B594F57683}">
      <text>
        <t>[Threaded comment]
Your version of Excel allows you to read this threaded comment; however, any edits to it will get removed if the file is opened in a newer version of Excel. Learn more: https://go.microsoft.com/fwlink/?linkid=870924
Comment:
    @Stuart Nickols FYI I'm adding the estimated run cost items from business cases here</t>
      </text>
    </comment>
    <comment ref="O178" authorId="17" shapeId="0" xr:uid="{D8137FCA-9C70-4A09-A4E1-86FEF5201B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Matt T’s email 19/06/26 - 40% BAU, 60% Transformation. 2 out of 5 modules implemented.
Reply:
    Removed - Kate Koch</t>
      </text>
    </comment>
    <comment ref="O181" authorId="18" shapeId="0" xr:uid="{13361A89-33D9-48F4-9FF4-79C810E840C1}">
      <text>
        <t>[Threaded comment]
Your version of Excel allows you to read this threaded comment; however, any edits to it will get removed if the file is opened in a newer version of Excel. Learn more: https://go.microsoft.com/fwlink/?linkid=870924
Comment:
    Jass’ email 25/05/26 - Oracle EBS fixed support not renewing, absorbed into Rimini’s EBS support.</t>
      </text>
    </comment>
    <comment ref="E186" authorId="19" shapeId="0" xr:uid="{9624D7A7-5AFB-4CBA-9382-7DE62B9539A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Asset register shows GK, Not Simon)</t>
      </text>
    </comment>
    <comment ref="C195" authorId="20" shapeId="0" xr:uid="{B2390365-0AB9-4998-9A2E-76A0013CD060}">
      <text>
        <t>[Threaded comment]
Your version of Excel allows you to read this threaded comment; however, any edits to it will get removed if the file is opened in a newer version of Excel. Learn more: https://go.microsoft.com/fwlink/?linkid=870924
Comment:
    @Sheree - to check with finance on volume</t>
      </text>
    </comment>
    <comment ref="L240" authorId="0" shapeId="0" xr:uid="{F6602A6A-E2D8-4302-A376-22850DACF2B2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tfr to 307</t>
        </r>
      </text>
    </comment>
    <comment ref="A241" authorId="0" shapeId="0" xr:uid="{BEFCB551-7272-4689-B4E8-0A73D99600A7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FY26 Budgeted but not spent</t>
        </r>
      </text>
    </comment>
    <comment ref="L241" authorId="0" shapeId="0" xr:uid="{5FC326B5-99F8-4027-8A63-6AE725416710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tfr from 516</t>
        </r>
      </text>
    </comment>
    <comment ref="O241" authorId="21" shapeId="0" xr:uid="{7F0D0DA6-E517-4504-9C5A-7B030F1B863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FY27 extended premium support is removed.</t>
      </text>
    </comment>
    <comment ref="O242" authorId="0" shapeId="0" xr:uid="{FD451DC0-491F-4455-9CAB-E1CD0BF1B77D}">
      <text>
        <r>
          <rPr>
            <b/>
            <sz val="9"/>
            <color indexed="81"/>
            <rFont val="Tahoma"/>
            <family val="2"/>
          </rPr>
          <t>Jessy Tang:</t>
        </r>
        <r>
          <rPr>
            <sz val="9"/>
            <color indexed="81"/>
            <rFont val="Tahoma"/>
            <family val="2"/>
          </rPr>
          <t xml:space="preserve">
MT's email 02/06/26 - decomm.
Confirmed - Kalpana's email 15/06/26</t>
        </r>
      </text>
    </comment>
    <comment ref="E247" authorId="22" shapeId="0" xr:uid="{D2CDC896-4019-47F0-B0AB-A9C4A98555EA}">
      <text>
        <t>[Threaded comment]
Your version of Excel allows you to read this threaded comment; however, any edits to it will get removed if the file is opened in a newer version of Excel. Learn more: https://go.microsoft.com/fwlink/?linkid=870924
Comment:
    Lauren McGough bus owner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<sst xmlns="http://schemas.openxmlformats.org/spreadsheetml/2006/main" count="3341" uniqueCount="912">
  <si>
    <t>Consumption</t>
  </si>
  <si>
    <t>V1 Budget</t>
  </si>
  <si>
    <t>V2 Adjustment</t>
  </si>
  <si>
    <t>V3 Adjustment</t>
  </si>
  <si>
    <t>Adjusted Budget</t>
  </si>
  <si>
    <t>Saving From V1</t>
  </si>
  <si>
    <t>Sheet</t>
  </si>
  <si>
    <t>Vendor</t>
  </si>
  <si>
    <t>Category</t>
  </si>
  <si>
    <t>Q1F27</t>
  </si>
  <si>
    <t>Q2F27</t>
  </si>
  <si>
    <t>Q3F27</t>
  </si>
  <si>
    <t>Q4F27</t>
  </si>
  <si>
    <t>FY27 Total</t>
  </si>
  <si>
    <t>Vendor Spend</t>
  </si>
  <si>
    <t>AWS</t>
  </si>
  <si>
    <t>Usage Optimisation</t>
  </si>
  <si>
    <t>Notes:</t>
  </si>
  <si>
    <t>FY27 Addressable</t>
  </si>
  <si>
    <t>LiveAgent</t>
  </si>
  <si>
    <t>Product rationalisation</t>
  </si>
  <si>
    <t>For contract renewals, FY27 savings are placed in the month of renewal.</t>
  </si>
  <si>
    <t>Fusion Related</t>
  </si>
  <si>
    <t>Oracle Corporation Australia Pty Limited</t>
  </si>
  <si>
    <t>For items budgeted for but already exited, FY27 savings placed in July.</t>
  </si>
  <si>
    <t>Post FY 27</t>
  </si>
  <si>
    <t>Adobe Systems Software Ireland Limited</t>
  </si>
  <si>
    <t>License Optimisation</t>
  </si>
  <si>
    <t>For items budgeted for but already decided against, FY27 savings placed in July.</t>
  </si>
  <si>
    <t>New Spend</t>
  </si>
  <si>
    <t>AWS Marketplace - Splunk</t>
  </si>
  <si>
    <t>For items where we bugeted to increase licenses, but have now decided to remain at FY26 levels, FY27 savings placed in July.</t>
  </si>
  <si>
    <t>Microsoft Related</t>
  </si>
  <si>
    <t>China Telecom</t>
  </si>
  <si>
    <t>Transformation Activities</t>
  </si>
  <si>
    <t>Consumption savings for FY27 placed in July.</t>
  </si>
  <si>
    <t>Total Vendor Spend:</t>
  </si>
  <si>
    <t>ContactMonkey</t>
  </si>
  <si>
    <t>I'm not 100% convinced about LiveAgent as, from the last emails I saw, it was on the list to sunset but not immediately.</t>
  </si>
  <si>
    <t>Digital Mass</t>
  </si>
  <si>
    <t>Non-Vendor Spend</t>
  </si>
  <si>
    <t>Dragon Metrics</t>
  </si>
  <si>
    <t>Staff Aug</t>
  </si>
  <si>
    <t>Equinix Australia Pty Ltd</t>
  </si>
  <si>
    <t>Professional Consultancy</t>
  </si>
  <si>
    <t>Happy Scribe</t>
  </si>
  <si>
    <t>Miscellaneous</t>
  </si>
  <si>
    <t>Import.io</t>
  </si>
  <si>
    <t>Non-Tech Budget</t>
  </si>
  <si>
    <t>Ionic Inc.</t>
  </si>
  <si>
    <t>Total Non-Vendor Spend:</t>
  </si>
  <si>
    <t>LinkedIn Singapore Pte Ltd</t>
  </si>
  <si>
    <t>Lucid Software Inc.</t>
  </si>
  <si>
    <t>UXCam Inc.</t>
  </si>
  <si>
    <t>Voucherify P.S.A</t>
  </si>
  <si>
    <t>Walkme</t>
  </si>
  <si>
    <t>Zoom Video Communications Inc</t>
  </si>
  <si>
    <t>Microsoft</t>
  </si>
  <si>
    <t>Jessy File:</t>
  </si>
  <si>
    <t>Microsoft Pty Ltd</t>
  </si>
  <si>
    <t>AWS Marketplace - GitLab</t>
  </si>
  <si>
    <t>Capitalisation</t>
  </si>
  <si>
    <t>Difference:</t>
  </si>
  <si>
    <t>Budget transfer of Dilligent for V1</t>
  </si>
  <si>
    <t>Snyk Limited</t>
  </si>
  <si>
    <t>Mantel Group Pty Ltd</t>
  </si>
  <si>
    <t>ConnectOS Pty Ltd</t>
  </si>
  <si>
    <t>Total Cost Out:</t>
  </si>
  <si>
    <t>-</t>
  </si>
  <si>
    <t>Rimini Street, Inc</t>
  </si>
  <si>
    <t>Diligent One Platform</t>
  </si>
  <si>
    <t>Gartner Midsize Enterprise</t>
  </si>
  <si>
    <t>Ahrefs Pte Ltd</t>
  </si>
  <si>
    <t>Total Cost In:</t>
  </si>
  <si>
    <t>Type</t>
  </si>
  <si>
    <t>Contract</t>
  </si>
  <si>
    <t>Adjust GmbH</t>
  </si>
  <si>
    <t>213BTI</t>
  </si>
  <si>
    <t>Fixed</t>
  </si>
  <si>
    <t>Adjust Core - 1,000,000 Conversions</t>
  </si>
  <si>
    <t>Marketo - Student Placement (Year 1- 1.2M, Year 2- $1.5M, Year 3- $1.7M)</t>
  </si>
  <si>
    <t>516HDO</t>
  </si>
  <si>
    <t>APNIC Pty Ltd</t>
  </si>
  <si>
    <t>514HDO</t>
  </si>
  <si>
    <t>App Samurai Limited</t>
  </si>
  <si>
    <t>Storyly</t>
  </si>
  <si>
    <t>Apple Inc.</t>
  </si>
  <si>
    <t>DC Apple Developer Account - IDP Connect (Lower enviroment)</t>
  </si>
  <si>
    <t>Appointlet</t>
  </si>
  <si>
    <t>511HDO</t>
  </si>
  <si>
    <t>Awards Management Platform - to Manage Award Programs</t>
  </si>
  <si>
    <t>AWS Marketplace - Cloudec</t>
  </si>
  <si>
    <t>513HDO</t>
  </si>
  <si>
    <t>Managed Services</t>
  </si>
  <si>
    <t>AWS Marketplace – Docker Inc</t>
  </si>
  <si>
    <t>SW subscription Docker Business Plan</t>
  </si>
  <si>
    <t>AWS Marketplace - Marketo</t>
  </si>
  <si>
    <t>308IEA</t>
  </si>
  <si>
    <t>Marketo Engage</t>
  </si>
  <si>
    <t>Splunk Cloud Subscription</t>
  </si>
  <si>
    <t>Splunk Observability</t>
  </si>
  <si>
    <t>Burst Training and Design</t>
  </si>
  <si>
    <t>C A Technology Pty Ltd (CAMMS)</t>
  </si>
  <si>
    <t>CAMMS GRC Tool</t>
  </si>
  <si>
    <t>China Telecom Global Limited</t>
  </si>
  <si>
    <t>AWS Network Circuit - Singapore to Shanghai</t>
  </si>
  <si>
    <t>CISO Lens Pty Ltd</t>
  </si>
  <si>
    <t>Outlook Add-In</t>
  </si>
  <si>
    <t>Convert Insights Inc.</t>
  </si>
  <si>
    <t>Creatify Lab Inc</t>
  </si>
  <si>
    <t>Creatify Unlimited Team Plan (10 seats)</t>
  </si>
  <si>
    <t>CSC Corporate Domains, Inc.</t>
  </si>
  <si>
    <t>Domain Registrations</t>
  </si>
  <si>
    <t>Data#3 Limited</t>
  </si>
  <si>
    <t>517HDO</t>
  </si>
  <si>
    <t>Adobe 1yr Licenses (9xCC,1xAP)</t>
  </si>
  <si>
    <t>Last Pass Subscription (Password Software Mgt) IAM Team</t>
  </si>
  <si>
    <t>TechSmith Camtasia licenses</t>
  </si>
  <si>
    <t>DataEDO</t>
  </si>
  <si>
    <t>Dataedo Starter (3 editors + unlimited viewers / community users)</t>
  </si>
  <si>
    <t>Digital Maas Pty Ltd</t>
  </si>
  <si>
    <t>SEO Tool - Premium Subscription</t>
  </si>
  <si>
    <t>Dragon Metrics Limited</t>
  </si>
  <si>
    <t>Dragon Metrics Subscription – Enterprise (Weekly ranking update)</t>
  </si>
  <si>
    <t>EPI-USE Australia Pty Ltd</t>
  </si>
  <si>
    <t>SuccessFactor Support - for global payroll integrations</t>
  </si>
  <si>
    <t>Saas - data center services</t>
  </si>
  <si>
    <t>FastSpring</t>
  </si>
  <si>
    <t>Numbeo API Basic Plan -  living database</t>
  </si>
  <si>
    <t>Figma, Inc.</t>
  </si>
  <si>
    <t>FRAUDWATCH INTERNATIONAL PTY LTD</t>
  </si>
  <si>
    <t>Digital Brand Protection</t>
  </si>
  <si>
    <t>Freepik Company, SL</t>
  </si>
  <si>
    <t>Freepik Premium+ Yearly</t>
  </si>
  <si>
    <t>Hello Teams Pty Ltd</t>
  </si>
  <si>
    <t>HO - Australia</t>
  </si>
  <si>
    <t>Insight Enterprises Australia Pty Ltd</t>
  </si>
  <si>
    <t>Cerberus FTP Server (Not in Budget)</t>
  </si>
  <si>
    <t>Interactive Pty Ltd</t>
  </si>
  <si>
    <t>Hardware Maintenance Renewal</t>
  </si>
  <si>
    <t>319OSI</t>
  </si>
  <si>
    <t>319IEO</t>
  </si>
  <si>
    <t>UPS Maintenance Renewal</t>
  </si>
  <si>
    <t>IP2Location</t>
  </si>
  <si>
    <t>IP2Location Web Service (5,000,000 Credits)</t>
  </si>
  <si>
    <t>IP2Proxy Web Service (500,000 Credits)</t>
  </si>
  <si>
    <t>Learning Seat Pty Ltd</t>
  </si>
  <si>
    <t>Litmos Content, ANZ Compl Ed Standalone</t>
  </si>
  <si>
    <t>Lucide Suite x 83</t>
  </si>
  <si>
    <t>Maxmind Inc</t>
  </si>
  <si>
    <t>IP address geolocation using accurate GeoIP® data.</t>
  </si>
  <si>
    <t>Mentimeter</t>
  </si>
  <si>
    <t>2 x Mentimeter pro licenses</t>
  </si>
  <si>
    <t>Microway (Vyond)</t>
  </si>
  <si>
    <t>Vyond Professional Annual - Single User</t>
  </si>
  <si>
    <t>MightyHive AU PTY LTD</t>
  </si>
  <si>
    <t>GA4 360 License</t>
  </si>
  <si>
    <t>One Trust Australia Pty Ltd</t>
  </si>
  <si>
    <t>GRC Tooling Cloud License - Risk Management</t>
  </si>
  <si>
    <t>Realtimeboard Inc. dba Miro</t>
  </si>
  <si>
    <t xml:space="preserve">Miro - Enterprise License Plan 200 users </t>
  </si>
  <si>
    <t>Sap Australia Pty Ltd</t>
  </si>
  <si>
    <t>Screaming Frog</t>
  </si>
  <si>
    <t>Similarweb Australia Pty Ltd</t>
  </si>
  <si>
    <t>PRO Service - Digital Marketing Suite - Ultimate (Aus Contract)</t>
  </si>
  <si>
    <t>SonarSource SA</t>
  </si>
  <si>
    <t>Quote_SonarQube Enterprise Edition Up to 10M Lines of Code</t>
  </si>
  <si>
    <t>Supermetrics</t>
  </si>
  <si>
    <t>Supermetrics - Hub</t>
  </si>
  <si>
    <t>Survey Monkey</t>
  </si>
  <si>
    <t>TeamViewer Germany GmbH</t>
  </si>
  <si>
    <t>Remote access tool</t>
  </si>
  <si>
    <t>Time Target Pty Ltd</t>
  </si>
  <si>
    <t>Humanforce T&amp;A system for AU/NZ,</t>
  </si>
  <si>
    <t>Mobile App analytics tool</t>
  </si>
  <si>
    <t>Vimeo.com, INC</t>
  </si>
  <si>
    <t>Video sharing platform (IELTS)</t>
  </si>
  <si>
    <t>Vimeo Custom - Entry Level (44645097)</t>
  </si>
  <si>
    <t>Discount Code Software</t>
  </si>
  <si>
    <t>Walkme for SAP</t>
  </si>
  <si>
    <t>Wordfence</t>
  </si>
  <si>
    <t>WP Engine</t>
  </si>
  <si>
    <t>Xtremepush Ltd</t>
  </si>
  <si>
    <t>ZOHO Corporation</t>
  </si>
  <si>
    <t>Site24x7</t>
  </si>
  <si>
    <t>Zoom Licenses</t>
  </si>
  <si>
    <t>AWS Marketplace - ClamAV</t>
  </si>
  <si>
    <t>BucketAV Software</t>
  </si>
  <si>
    <t>AWS Marketplace – NGINX Software</t>
  </si>
  <si>
    <t>Load balancer</t>
  </si>
  <si>
    <t>Civica Pty Ltd</t>
  </si>
  <si>
    <t>Google Australia Pty Ltd</t>
  </si>
  <si>
    <t>IVE Group Australia Pty Ltd</t>
  </si>
  <si>
    <t>Mapbox Inc</t>
  </si>
  <si>
    <t>Location Data Platform - 3 accounts (SP, DM, LT)</t>
  </si>
  <si>
    <t>Sinch Australia Pty Ltd</t>
  </si>
  <si>
    <t>CPaaS</t>
  </si>
  <si>
    <t>Sinch UK Ltd.</t>
  </si>
  <si>
    <t>AWS Marketplace - N2WS</t>
  </si>
  <si>
    <t>Aws Backups</t>
  </si>
  <si>
    <t>Growthbook</t>
  </si>
  <si>
    <t>SafetyCulture (iAuditor)</t>
  </si>
  <si>
    <t>Zapier</t>
  </si>
  <si>
    <t>Zapier - Pro Plan</t>
  </si>
  <si>
    <t>Amazon Web Services Australia Pty Ltd</t>
  </si>
  <si>
    <t>Stackify LLC</t>
  </si>
  <si>
    <t>UPS Servicing</t>
  </si>
  <si>
    <t>Google Recaptcha</t>
  </si>
  <si>
    <t>AWS Marketplace - Anthropic PBC</t>
  </si>
  <si>
    <t>Beijing Sinnet Technology Co., Ltd.</t>
  </si>
  <si>
    <t>Gupshup</t>
  </si>
  <si>
    <t>BitTitan</t>
  </si>
  <si>
    <t>Upstream Print Solutions Pty Ltd</t>
  </si>
  <si>
    <t>AWS Marketplace – Workato Inc</t>
  </si>
  <si>
    <t>Enterprise Edition (inc Support)</t>
  </si>
  <si>
    <t>AWS Marketplace – Commvault</t>
  </si>
  <si>
    <t>Commvault Cloud  SaaS Jumpstart</t>
  </si>
  <si>
    <t>AWS Marketplace - CyberCX</t>
  </si>
  <si>
    <t>Canva Pty Ltd</t>
  </si>
  <si>
    <t>Canva Enterprise x 200</t>
  </si>
  <si>
    <t>Contentful, Inc.</t>
  </si>
  <si>
    <t>Licences + Support - To create, manage and distribute content to IDP's platform</t>
  </si>
  <si>
    <t>Adobe 3yr Licenses (20xAP,53xCC,8xAS,1xAU,1xDW,2xIL,1xPP)</t>
  </si>
  <si>
    <t>Renewal 3 years - Ivanti Neurons Platform W/CSV Connector</t>
  </si>
  <si>
    <t>DataRobot, Inc.</t>
  </si>
  <si>
    <t>Machine Learning</t>
  </si>
  <si>
    <t>Epignosis LLC</t>
  </si>
  <si>
    <t>IELTS LMS - iLearn</t>
  </si>
  <si>
    <t>Info-Tech Research Group Pty Ltd</t>
  </si>
  <si>
    <t>518HDO</t>
  </si>
  <si>
    <t>Advisory Membership - 12 Months</t>
  </si>
  <si>
    <t>Informatica Australia Pty Ltd</t>
  </si>
  <si>
    <t>OAK Management Reporting - Premium Support - PowerCentre (OnPrem)</t>
  </si>
  <si>
    <t>Insight Systems Group Pty Ltd</t>
  </si>
  <si>
    <t>KaneAI &amp; HyperExecute</t>
  </si>
  <si>
    <t>Enterprise Learning Program (511 inv # 51110655422 )</t>
  </si>
  <si>
    <t>Logicalis Australia Pty Ltd</t>
  </si>
  <si>
    <t>Naturalsoft Limited</t>
  </si>
  <si>
    <t>AI Voice Generator - Team Plan (1 yr subscription, 2 users)</t>
  </si>
  <si>
    <t>Nitro Software, Inc</t>
  </si>
  <si>
    <t>Nitro Pro Business Renewal x 1700</t>
  </si>
  <si>
    <t>Padah Solutions Private Limited</t>
  </si>
  <si>
    <t>Paessler AG</t>
  </si>
  <si>
    <t>Paessler PRTG Network Monitor</t>
  </si>
  <si>
    <t>Pager Duty Inc</t>
  </si>
  <si>
    <t>PortSwigger Ltd</t>
  </si>
  <si>
    <t>Pen Testing - Burp Suite Enterprise Edition (Cloud) - 1 yr sub (Classic - 2) concurrent scans</t>
  </si>
  <si>
    <t>QUALTRICS, LLC</t>
  </si>
  <si>
    <t>Cloud Professional</t>
  </si>
  <si>
    <t>RedShield Security Australia Pty Ltd</t>
  </si>
  <si>
    <t>Regula Forensics Inc.</t>
  </si>
  <si>
    <t>490HDO</t>
  </si>
  <si>
    <t>SAP C4C (CRM)  - Intitial contract</t>
  </si>
  <si>
    <t>ServiceNow Australia Pty Ltd</t>
  </si>
  <si>
    <t>ServiceNow® Suite</t>
  </si>
  <si>
    <t>Sprout Social</t>
  </si>
  <si>
    <t>Social media management tool</t>
  </si>
  <si>
    <t>STAX-WMS Pty Ltd</t>
  </si>
  <si>
    <t>Cloud Management Software</t>
  </si>
  <si>
    <t>Tata Communications (Australia) Pty. Limited.</t>
  </si>
  <si>
    <t>Amazon Connect -Managed Services</t>
  </si>
  <si>
    <t>LNS ITFS Backup</t>
  </si>
  <si>
    <t>PureCloud 3 Named User + Day2 Support</t>
  </si>
  <si>
    <t>PureCloud 3 Named User + Day2 Support + BYOC Global Platform Charge</t>
  </si>
  <si>
    <t>ECCTIS LTD</t>
  </si>
  <si>
    <t>Bespoke Membership</t>
  </si>
  <si>
    <t>AWS Marketplace – IBM Software</t>
  </si>
  <si>
    <t>Cloudability</t>
  </si>
  <si>
    <t>Impartner Inc.</t>
  </si>
  <si>
    <t>Ignite Plus, Impartner Deal Mgmt, Referral Mgmg (10,000)</t>
  </si>
  <si>
    <t>Telstra Limited</t>
  </si>
  <si>
    <t>TPG Telecom</t>
  </si>
  <si>
    <t>Aussie Broadband Limited</t>
  </si>
  <si>
    <t>Aussie Broadband - Fibre Links</t>
  </si>
  <si>
    <t>Application Security Bundle - Premium Care Bundle</t>
  </si>
  <si>
    <t>NaturalReader</t>
  </si>
  <si>
    <t>Neeraja/Mary Priya</t>
  </si>
  <si>
    <t>Google support</t>
  </si>
  <si>
    <t>Neeraja/Kiruthika</t>
  </si>
  <si>
    <t>Smartly IO</t>
  </si>
  <si>
    <t>Michelle C/ Kristin Prestinenzi</t>
  </si>
  <si>
    <t>Contenful Nine Tail Personalisation</t>
  </si>
  <si>
    <t>Joel Knight/ Kristin Prestinenzi</t>
  </si>
  <si>
    <t>LLM</t>
  </si>
  <si>
    <t>Michelle C/Joel Knight</t>
  </si>
  <si>
    <t>Placeholder: TBC</t>
  </si>
  <si>
    <t>Stuart Nickols</t>
  </si>
  <si>
    <t>Envato Elements</t>
  </si>
  <si>
    <t>Andrew Sanders</t>
  </si>
  <si>
    <t>NOOSR</t>
  </si>
  <si>
    <t>Neeraja/Chandan</t>
  </si>
  <si>
    <t>Lewis Lee</t>
  </si>
  <si>
    <t>SANS</t>
  </si>
  <si>
    <t>Simon Cowley</t>
  </si>
  <si>
    <t>TBC</t>
  </si>
  <si>
    <t>Jason Thunder</t>
  </si>
  <si>
    <t>Abebe Tedila Mengistie</t>
  </si>
  <si>
    <t>Contractors in Manila</t>
  </si>
  <si>
    <t>Only Cyber Contractors in Manila</t>
  </si>
  <si>
    <t>Resource - Sai</t>
  </si>
  <si>
    <t>Direselign Addis</t>
  </si>
  <si>
    <t>Gashaw Taye</t>
  </si>
  <si>
    <t>HTC Global Services (Australia) Pty Ltd</t>
  </si>
  <si>
    <t>HUGO FILIPE FLORES CORREIA</t>
  </si>
  <si>
    <t>Solution Architect for IELTS UK (backfill for Andrew Lovell)</t>
  </si>
  <si>
    <t>KloudPortal Technology Solutions Pvt Ltd</t>
  </si>
  <si>
    <t>Muluken Menberu</t>
  </si>
  <si>
    <t>CyberCX Pty Ltd</t>
  </si>
  <si>
    <t>Maturity assessment</t>
  </si>
  <si>
    <t>FTI Consulting</t>
  </si>
  <si>
    <t>Critical pen Testing</t>
  </si>
  <si>
    <t>Red Team exercise</t>
  </si>
  <si>
    <t>IELTS UK Services Ltd</t>
  </si>
  <si>
    <t>314TUK</t>
  </si>
  <si>
    <t>ISG Information Services Group Americas, Inc.</t>
  </si>
  <si>
    <t>VCS Tech Review</t>
  </si>
  <si>
    <t>SRIDHARAN SAKTHIVEL</t>
  </si>
  <si>
    <t>TeamForm Pty Ltd</t>
  </si>
  <si>
    <t>ISACA</t>
  </si>
  <si>
    <t>Other</t>
  </si>
  <si>
    <t>Quantum Information Technology Pty Ltd</t>
  </si>
  <si>
    <t>EPM</t>
  </si>
  <si>
    <t>OACS - OCI Credits</t>
  </si>
  <si>
    <t>Oracle EBS v12.1.3 - 110 Users</t>
  </si>
  <si>
    <t>Oracle Fusion</t>
  </si>
  <si>
    <t>Ariba - Guided Buying</t>
  </si>
  <si>
    <t>Ariba - SLP, Contracts, DocuSign</t>
  </si>
  <si>
    <t>SuccessFactors HCM subscription</t>
  </si>
  <si>
    <t>Concur Holdings (Netherlands) B.V</t>
  </si>
  <si>
    <t>Concur SaaS Licence</t>
  </si>
  <si>
    <t>NRI Australia Limited</t>
  </si>
  <si>
    <t>Core Managed Services</t>
  </si>
  <si>
    <t>Blackline Systems</t>
  </si>
  <si>
    <t>More4Apps Aus Pty Ltd</t>
  </si>
  <si>
    <t>BDO Services Pty Ltd</t>
  </si>
  <si>
    <t>Pivot2 Solutions Pty Ltd</t>
  </si>
  <si>
    <t>Managed Service</t>
  </si>
  <si>
    <t>Insightsoftware Australia Pty Ltd</t>
  </si>
  <si>
    <t xml:space="preserve">M365 (342) + O365 (310) Education Licenses </t>
  </si>
  <si>
    <t>AZURE montly charges</t>
  </si>
  <si>
    <t>Defender</t>
  </si>
  <si>
    <t>Enterprise Agreement (Corp Portion 30%)</t>
  </si>
  <si>
    <t>Enterprise Agreement (SP Portion 70%)</t>
  </si>
  <si>
    <t>Intune licence</t>
  </si>
  <si>
    <t>Licenses and Software Assurance (Corp Portion 30%)</t>
  </si>
  <si>
    <t>Licenses and Software Assurance (SP Portion 70%)</t>
  </si>
  <si>
    <t>Reservations</t>
  </si>
  <si>
    <t>SQL Server (Corp Portion 30%)</t>
  </si>
  <si>
    <t>SQL Server (SP Portion 70%)</t>
  </si>
  <si>
    <t>Teams Software</t>
  </si>
  <si>
    <t>Microsoft 365 Copilot x 200</t>
  </si>
  <si>
    <t>Office 365 x Extra Storage x 15000</t>
  </si>
  <si>
    <t>Employee Communication Charges</t>
  </si>
  <si>
    <t>Miscellaneous Admin Charges</t>
  </si>
  <si>
    <t>512HDO</t>
  </si>
  <si>
    <t>346 Envoy</t>
  </si>
  <si>
    <t>794HGB01</t>
  </si>
  <si>
    <t>Balancing line to agree back to CORTH after volume adjustment by FSS</t>
  </si>
  <si>
    <t>***DO NOT SORT THIS PAGE. IT STUFFS THE FORMULAS***</t>
  </si>
  <si>
    <t>ALL YELLOW CELLS REQUIRE INPUT</t>
  </si>
  <si>
    <t>319 - pure OSM direct cost</t>
  </si>
  <si>
    <t>BUDGET</t>
  </si>
  <si>
    <t>Ref</t>
  </si>
  <si>
    <t>Product</t>
  </si>
  <si>
    <t>Function</t>
  </si>
  <si>
    <t>GTLT/Tech Owner/ Business Owner</t>
  </si>
  <si>
    <t>CC</t>
  </si>
  <si>
    <t>GL</t>
  </si>
  <si>
    <t>Start</t>
  </si>
  <si>
    <t>End</t>
  </si>
  <si>
    <t>Term (months)</t>
  </si>
  <si>
    <t>F27B Total</t>
  </si>
  <si>
    <t>Var F27 v F26 (Fav)/Unfav (v1)</t>
  </si>
  <si>
    <t>Adjustment
V2</t>
  </si>
  <si>
    <t>Adjustment
V3</t>
  </si>
  <si>
    <t>F27B Total
V3</t>
  </si>
  <si>
    <t>Tech</t>
  </si>
  <si>
    <t>Marketing</t>
  </si>
  <si>
    <t>Neeraja/Amudha</t>
  </si>
  <si>
    <t>Neeraja/ Antony Nelson/Michelle Callanan</t>
  </si>
  <si>
    <t>Marketo Engage - Additional Dynamic Chat seats - 70</t>
  </si>
  <si>
    <t>FY27B</t>
  </si>
  <si>
    <t>Ahrefs, SEMRush</t>
  </si>
  <si>
    <t>SEO Tools - Regional</t>
  </si>
  <si>
    <t>PPA Commitment</t>
  </si>
  <si>
    <t>DM</t>
  </si>
  <si>
    <t>Neeraja / Jayakumar</t>
  </si>
  <si>
    <t>Envoy</t>
  </si>
  <si>
    <t xml:space="preserve"> </t>
  </si>
  <si>
    <t>LT</t>
  </si>
  <si>
    <t>Analytics</t>
  </si>
  <si>
    <t>SP</t>
  </si>
  <si>
    <t>Annual Membership, IDP Public IP in Aus</t>
  </si>
  <si>
    <t>Cyber</t>
  </si>
  <si>
    <t xml:space="preserve">Neeraja / Sasi kumar </t>
  </si>
  <si>
    <t>DM,LT &amp; SP</t>
  </si>
  <si>
    <t>Neeraja / Kishore Mohanarangam</t>
  </si>
  <si>
    <t>Neeraja/Bala</t>
  </si>
  <si>
    <t>AwardForce</t>
  </si>
  <si>
    <t>Michelle Callanan/ Annie Sun</t>
  </si>
  <si>
    <t>Claude</t>
  </si>
  <si>
    <t>Business Case: C213 AAV</t>
  </si>
  <si>
    <t>Stuart Nickols
Business Case: C205 Navi</t>
  </si>
  <si>
    <t>Cloudops</t>
  </si>
  <si>
    <t>Platform &amp; Infrastructure</t>
  </si>
  <si>
    <t>Neeraja/Jayakumar</t>
  </si>
  <si>
    <t>China licenses Premium (220 @USD50)</t>
  </si>
  <si>
    <t>Netskope Enterprise Browser + Support (1500 licenses)</t>
  </si>
  <si>
    <t>Netskope Enterprise Browser + Support (2500 @ USD16 per license)</t>
  </si>
  <si>
    <t>Netskope SASE Licences + Support (6500 licenses)</t>
  </si>
  <si>
    <t>Neeraja/Santhosh</t>
  </si>
  <si>
    <t>Neeraja/Michelle Callanan</t>
  </si>
  <si>
    <t>Neeraja</t>
  </si>
  <si>
    <t>Neeraja/Gayathri</t>
  </si>
  <si>
    <t>1M Tasks x 7 (inc Support) - based on OSM consumption</t>
  </si>
  <si>
    <t>Workato is an iPaaS solution tool to automate workflows and integrate applications</t>
  </si>
  <si>
    <t>Monthly</t>
  </si>
  <si>
    <t>MISC</t>
  </si>
  <si>
    <t>BDO Lead SaaS Annual Licence Fee (Lease Accounting)</t>
  </si>
  <si>
    <t>Finance</t>
  </si>
  <si>
    <t>Amazon in China, Project Panda, to change to 308 in FY27</t>
  </si>
  <si>
    <t>Shared</t>
  </si>
  <si>
    <t>OnDemand Basic Black + Premium 85 Users</t>
  </si>
  <si>
    <t>19 x Articulate 360 TEAMs Annual Subscription</t>
  </si>
  <si>
    <t>PX, DC, PSN, Cyber</t>
  </si>
  <si>
    <t>Matt Toohey/Craig Murphy</t>
  </si>
  <si>
    <t xml:space="preserve">Risk </t>
  </si>
  <si>
    <t>Neeraja/Dan Aitken/ Jess Wilson</t>
  </si>
  <si>
    <t>Michelle Callanan</t>
  </si>
  <si>
    <t>SP/LT?</t>
  </si>
  <si>
    <t>CISO Lens Membership - Simon Cowley, Rosie, AMG, Samba</t>
  </si>
  <si>
    <t>Provisional for CR</t>
  </si>
  <si>
    <t>Neeraja/Emin Aldim</t>
  </si>
  <si>
    <t>CloudOps</t>
  </si>
  <si>
    <t>Jayakumar VR</t>
  </si>
  <si>
    <t>Neeraja / Devi B/ Stephanie Watt</t>
  </si>
  <si>
    <t>Website personalisation</t>
  </si>
  <si>
    <t xml:space="preserve">Neeraja / Mythili D
</t>
  </si>
  <si>
    <t>Convert A/B testing Enterprise Plan - web traffic analytics</t>
  </si>
  <si>
    <t>Matt Toohey</t>
  </si>
  <si>
    <t>Inforiver Analytics+ (Tier 20 - 99) - Annual Subscription PowerBI</t>
  </si>
  <si>
    <t>English Language Teaching</t>
  </si>
  <si>
    <t>Digital Workplace</t>
  </si>
  <si>
    <t>Neeraja / Pradeep N/ Stuart Nickols</t>
  </si>
  <si>
    <t>Data (CDO)</t>
  </si>
  <si>
    <t>Michelle Callanan/ Joel Knight</t>
  </si>
  <si>
    <t>Michelle Callanan/ Joel Knight/Prem Pradeep</t>
  </si>
  <si>
    <t>Client Partnerships</t>
  </si>
  <si>
    <t>Online platform providing  licensed digital assets,  video templates, stock footage, music, and graphics</t>
  </si>
  <si>
    <t>Steph Watt</t>
  </si>
  <si>
    <t>PX</t>
  </si>
  <si>
    <t>Neeraja/Monique</t>
  </si>
  <si>
    <t>Organization Full seats x 1 (UX tool - realtime collab)</t>
  </si>
  <si>
    <t>Neeraja/Amudha/Sian Harris</t>
  </si>
  <si>
    <t>DFIR</t>
  </si>
  <si>
    <t>GitLab Pty Ltd</t>
  </si>
  <si>
    <t>SaaS - Premium (formerly Silver) - 1 Year - 450 Licenses (375users from 20/04/26-19/04/28)</t>
  </si>
  <si>
    <t>Google Cloud</t>
  </si>
  <si>
    <t>Neeraja/ Kishore</t>
  </si>
  <si>
    <t>Google Translation</t>
  </si>
  <si>
    <t>Growthbook Cloud x 4seats @$20/seat</t>
  </si>
  <si>
    <t>David Mackie/Sian</t>
  </si>
  <si>
    <t>Platform fee i.e. Gupshup margin based on Whatsapp vol @ $0.001. (Usage fee is absorbed by network billed by Meta via Gupshup)</t>
  </si>
  <si>
    <t>Neeraja/Antony</t>
  </si>
  <si>
    <t>Happy Scribe Subscription 3 seats/10hrs per mnth</t>
  </si>
  <si>
    <t>Regions</t>
  </si>
  <si>
    <t>Resource - Vignesh S</t>
  </si>
  <si>
    <t>Enterprise Architecture</t>
  </si>
  <si>
    <t>Neeraja/sankar</t>
  </si>
  <si>
    <t>SaaS Premium Plan (2M Query)</t>
  </si>
  <si>
    <t>Neeraja/Omvir</t>
  </si>
  <si>
    <t>Microsoft 365 Copilot x 98</t>
  </si>
  <si>
    <t>Windows 365 Enterprise 4 vCPU, 16 GB, 128 GB x 16</t>
  </si>
  <si>
    <t>AV Managed Services - meeting rooms</t>
  </si>
  <si>
    <t>FXLoader (for EBS)</t>
  </si>
  <si>
    <t>Chris Lai</t>
  </si>
  <si>
    <t>IBM Hardware and Software Maintenance Renewal (25% India)</t>
  </si>
  <si>
    <t>IBM Hardware and Software Maintenance Renewal (75% ROW + China)</t>
  </si>
  <si>
    <t>Ionic</t>
  </si>
  <si>
    <t>Appflow Basic License- 5 seats, 2 concurrent builds - IDP Education LLP</t>
  </si>
  <si>
    <t>IPQSN</t>
  </si>
  <si>
    <t>replaces IP2Location</t>
  </si>
  <si>
    <t>Quarterly</t>
  </si>
  <si>
    <t>FY26B</t>
  </si>
  <si>
    <t>Cyber Awareness Activities</t>
  </si>
  <si>
    <t>benchmarking</t>
  </si>
  <si>
    <t>75% ROW + China</t>
  </si>
  <si>
    <t>Resource - Naga Bhushanam Pechatti</t>
  </si>
  <si>
    <t>Lamdatest INC</t>
  </si>
  <si>
    <t>Craig Murphy</t>
  </si>
  <si>
    <t xml:space="preserve">PX </t>
  </si>
  <si>
    <t>Matt Toohey/Stuart Nickols/Craig Murphy</t>
  </si>
  <si>
    <t>LinkedIn Talent Insights - Commerical ProServ (213 inv # 51110651342 ) - only used in India?</t>
  </si>
  <si>
    <t>Matt Toohey/Piyush?</t>
  </si>
  <si>
    <t xml:space="preserve">Service Desk platform the IELTS Customer Support Team </t>
  </si>
  <si>
    <t>Amudha/Vincent Blokker</t>
  </si>
  <si>
    <t>Large Language Model tracking</t>
  </si>
  <si>
    <t>Santhosh Reddy Mandadi</t>
  </si>
  <si>
    <t>Neeraja/Ashok Kumar / Nitin Sethi</t>
  </si>
  <si>
    <t>Unified Support</t>
  </si>
  <si>
    <t>Windows 10 ESU (run phase)</t>
  </si>
  <si>
    <t>Windows CloudPC</t>
  </si>
  <si>
    <t>Online Marketing Services</t>
  </si>
  <si>
    <t>Open AI</t>
  </si>
  <si>
    <t>Open AI (Credit card Tranx)</t>
  </si>
  <si>
    <t>Oracle EBS v12.1.3 - Support</t>
  </si>
  <si>
    <t>154T</t>
  </si>
  <si>
    <t>Tfr to Transformation</t>
  </si>
  <si>
    <t>Atlassian (Jira and Confluence) x 1000</t>
  </si>
  <si>
    <t>eazyBI Reports and Charts for Jira Cloud</t>
  </si>
  <si>
    <t>tech</t>
  </si>
  <si>
    <t>Simon Cowley/GK</t>
  </si>
  <si>
    <t>Paging service for Manila. Business x 8 (FY27 21users)</t>
  </si>
  <si>
    <t>New Data platform FY27</t>
  </si>
  <si>
    <t>CX PX</t>
  </si>
  <si>
    <t>Consultancy IAM</t>
  </si>
  <si>
    <t>Cambodia - protect website &amp; apps inside Azure (payroll data etc)
iCAPPS - protect iCAPPS asset - decommissioning possible</t>
  </si>
  <si>
    <t>Biometrics scanning</t>
  </si>
  <si>
    <t>Cyber Awareness Training - AI</t>
  </si>
  <si>
    <t>Procurement</t>
  </si>
  <si>
    <r>
      <t xml:space="preserve">BTP Enterprise Agreement </t>
    </r>
    <r>
      <rPr>
        <sz val="9"/>
        <color rgb="FFC00000"/>
        <rFont val="Aptos Narrow"/>
        <family val="2"/>
        <scheme val="minor"/>
      </rPr>
      <t>(213BTI)</t>
    </r>
    <r>
      <rPr>
        <sz val="9"/>
        <color theme="1"/>
        <rFont val="Aptos Narrow"/>
        <family val="2"/>
        <scheme val="minor"/>
      </rPr>
      <t xml:space="preserve"> - PaaS Dev Tool</t>
    </r>
  </si>
  <si>
    <t>SAP C4C V2 POC (SCPI)</t>
  </si>
  <si>
    <t>Michelle Callanan/ Kristin Prestinenzi</t>
  </si>
  <si>
    <t>PRO Service - Digital Marketing Suite - Ultimate (India Contract)</t>
  </si>
  <si>
    <t>Neeraja/Antony Nelson</t>
  </si>
  <si>
    <t>Neeraja/Antony Nelson/ Stuart Smith?</t>
  </si>
  <si>
    <t>AI digital advertising buying &amp; creative ad production</t>
  </si>
  <si>
    <t>Michelle Callanan/ Emily Nicholson</t>
  </si>
  <si>
    <t>Contractor</t>
  </si>
  <si>
    <t>Neeraja/Jayakumar/Gavin</t>
  </si>
  <si>
    <t>Stuart Nickols/Michelle M</t>
  </si>
  <si>
    <t>Adrian Yeo</t>
  </si>
  <si>
    <t>EA Modelling Tool</t>
  </si>
  <si>
    <t>reviews of compliance readiness, WoW maturation, Capability uplifts etc.</t>
  </si>
  <si>
    <t>TeamForm Implementation Services</t>
  </si>
  <si>
    <t>Teamform SaaS licensing</t>
  </si>
  <si>
    <t>Neeraja/Sai Kiran</t>
  </si>
  <si>
    <t>Monique Nguon</t>
  </si>
  <si>
    <t>Broadband into sites</t>
  </si>
  <si>
    <t>Neeraja/SianHarris</t>
  </si>
  <si>
    <t>Video sharing platform</t>
  </si>
  <si>
    <t>Neeraja/Joel Knight</t>
  </si>
  <si>
    <t>Mark Bertone</t>
  </si>
  <si>
    <t>Walkme Australia Pty Ltd</t>
  </si>
  <si>
    <t>Stephanie Watt</t>
  </si>
  <si>
    <t>iknow.ielts.idp.com</t>
  </si>
  <si>
    <t>Hosting services</t>
  </si>
  <si>
    <t>Erin Banek</t>
  </si>
  <si>
    <t>Marketing - B2B</t>
  </si>
  <si>
    <t>Stuart Smith/Nitin Singh</t>
  </si>
  <si>
    <t>Neeraja/Jayakumar/Gavin/Lauren McGough</t>
  </si>
  <si>
    <t>NA</t>
  </si>
  <si>
    <t>When contract is up</t>
  </si>
  <si>
    <t>V1 budget</t>
  </si>
  <si>
    <t>Renewal price</t>
  </si>
  <si>
    <t>Licensing</t>
  </si>
  <si>
    <t>New spend</t>
  </si>
  <si>
    <t>Status</t>
  </si>
  <si>
    <t>Costout</t>
  </si>
  <si>
    <t>Finalised?</t>
  </si>
  <si>
    <t>Y</t>
  </si>
  <si>
    <t>Licensing cost-out to date</t>
  </si>
  <si>
    <t>Consumption cost-out to date</t>
  </si>
  <si>
    <t>New Spend cost-out to date</t>
  </si>
  <si>
    <t>IT Simplification — FY27 Cost-out Dashboard</t>
  </si>
  <si>
    <t>Actual savings achieved, remaining opportunity and timing by quarter</t>
  </si>
  <si>
    <t>Metric</t>
  </si>
  <si>
    <t>Q1 FY27</t>
  </si>
  <si>
    <t>Q2 FY27</t>
  </si>
  <si>
    <t>Q3 FY27</t>
  </si>
  <si>
    <t>Q4 FY27</t>
  </si>
  <si>
    <t>Unscheduled</t>
  </si>
  <si>
    <t>Total</t>
  </si>
  <si>
    <t>Budget variance / reclassification</t>
  </si>
  <si>
    <t>V1 BUDGET</t>
  </si>
  <si>
    <t>ENTERED RENEWAL PRICE</t>
  </si>
  <si>
    <t>NET IDENTIFIED COSTOUT</t>
  </si>
  <si>
    <t>FINALISED POSITIVE COSTOUT</t>
  </si>
  <si>
    <t>QUARTERLY BUDGET, RENEWAL AND COSTOUT OUTLOOK</t>
  </si>
  <si>
    <t>Entered renewal price</t>
  </si>
  <si>
    <t>Net identified costout</t>
  </si>
  <si>
    <t>Finalised positive costout</t>
  </si>
  <si>
    <t>Unfinalised positive costout</t>
  </si>
  <si>
    <t>CATEGORY BUDGET, RENEWAL AND COSTOUT OUTLOOK</t>
  </si>
  <si>
    <t>Net identified costout: Overall expected reduction based on all values currently entered</t>
  </si>
  <si>
    <t>Finalised positive costout: Savings confirmed/completed</t>
  </si>
  <si>
    <t>Unfinalised positive costout: Savings pipeline - not guaranteed savings</t>
  </si>
  <si>
    <t>Example Vendor 001</t>
  </si>
  <si>
    <t>Example Vendor 002</t>
  </si>
  <si>
    <t>Example Vendor 003</t>
  </si>
  <si>
    <t>Example Vendor 004</t>
  </si>
  <si>
    <t>Example Vendor 005</t>
  </si>
  <si>
    <t>Example Vendor 006</t>
  </si>
  <si>
    <t>Example Vendor 007</t>
  </si>
  <si>
    <t>Example Vendor 008</t>
  </si>
  <si>
    <t>Example Vendor 009</t>
  </si>
  <si>
    <t>Example Vendor 010</t>
  </si>
  <si>
    <t>Example Vendor 011</t>
  </si>
  <si>
    <t>Example Vendor 012</t>
  </si>
  <si>
    <t>Example Vendor 013</t>
  </si>
  <si>
    <t>Example Vendor 014</t>
  </si>
  <si>
    <t>Example Vendor 015</t>
  </si>
  <si>
    <t>Example Vendor 016</t>
  </si>
  <si>
    <t>Example Vendor 017</t>
  </si>
  <si>
    <t>Example Vendor 018</t>
  </si>
  <si>
    <t>Example Vendor 019</t>
  </si>
  <si>
    <t>Example Vendor 020</t>
  </si>
  <si>
    <t>Example Vendor 021</t>
  </si>
  <si>
    <t>Example Vendor 022</t>
  </si>
  <si>
    <t>Example Vendor 023</t>
  </si>
  <si>
    <t>Example Vendor 024</t>
  </si>
  <si>
    <t>Example Vendor 025</t>
  </si>
  <si>
    <t>Example Vendor 026</t>
  </si>
  <si>
    <t>Example Vendor 027</t>
  </si>
  <si>
    <t>Example Vendor 028</t>
  </si>
  <si>
    <t>Example Vendor 029</t>
  </si>
  <si>
    <t>Example Vendor 030</t>
  </si>
  <si>
    <t>Example Vendor 031</t>
  </si>
  <si>
    <t>Example Vendor 032</t>
  </si>
  <si>
    <t>Example Vendor 033</t>
  </si>
  <si>
    <t>Example Vendor 034</t>
  </si>
  <si>
    <t>Example Vendor 035</t>
  </si>
  <si>
    <t>Example Vendor 036</t>
  </si>
  <si>
    <t>Example Vendor 037</t>
  </si>
  <si>
    <t>Example Vendor 038</t>
  </si>
  <si>
    <t>Example Vendor 039</t>
  </si>
  <si>
    <t>Example Vendor 040</t>
  </si>
  <si>
    <t>Example Vendor 041</t>
  </si>
  <si>
    <t>Example Vendor 042</t>
  </si>
  <si>
    <t>Example Vendor 043</t>
  </si>
  <si>
    <t>Example Vendor 044</t>
  </si>
  <si>
    <t>Example Vendor 045</t>
  </si>
  <si>
    <t>Example Vendor 046</t>
  </si>
  <si>
    <t>Example Vendor 047</t>
  </si>
  <si>
    <t>Example Vendor 048</t>
  </si>
  <si>
    <t>Example Vendor 049</t>
  </si>
  <si>
    <t>Example Vendor 050</t>
  </si>
  <si>
    <t>Example Vendor 051</t>
  </si>
  <si>
    <t>Example Vendor 052</t>
  </si>
  <si>
    <t>Example Vendor 053</t>
  </si>
  <si>
    <t>Example Vendor 054</t>
  </si>
  <si>
    <t>Example Vendor 055</t>
  </si>
  <si>
    <t>Example Vendor 056</t>
  </si>
  <si>
    <t>Example Vendor 057</t>
  </si>
  <si>
    <t>Example Vendor 058</t>
  </si>
  <si>
    <t>Example Vendor 059</t>
  </si>
  <si>
    <t>Example Vendor 060</t>
  </si>
  <si>
    <t>Example Vendor 061</t>
  </si>
  <si>
    <t>Example Vendor 062</t>
  </si>
  <si>
    <t>Example Vendor 063</t>
  </si>
  <si>
    <t>Example Vendor 064</t>
  </si>
  <si>
    <t>Example Vendor 065</t>
  </si>
  <si>
    <t>Example Vendor 066</t>
  </si>
  <si>
    <t>Example Vendor 067</t>
  </si>
  <si>
    <t>Example Vendor 068</t>
  </si>
  <si>
    <t>Example Vendor 069</t>
  </si>
  <si>
    <t>Example Vendor 070</t>
  </si>
  <si>
    <t>Example Vendor 071</t>
  </si>
  <si>
    <t>Example Vendor 072</t>
  </si>
  <si>
    <t>Example Vendor 073</t>
  </si>
  <si>
    <t>Example Vendor 074</t>
  </si>
  <si>
    <t>Example Vendor 075</t>
  </si>
  <si>
    <t>Example Vendor 076</t>
  </si>
  <si>
    <t>Example Vendor 077</t>
  </si>
  <si>
    <t>Example Vendor 078</t>
  </si>
  <si>
    <t>Example Vendor 079</t>
  </si>
  <si>
    <t>Example Vendor 080</t>
  </si>
  <si>
    <t>Example Vendor 081</t>
  </si>
  <si>
    <t>Example Vendor 082</t>
  </si>
  <si>
    <t>Example Vendor 083</t>
  </si>
  <si>
    <t>Example Vendor 084</t>
  </si>
  <si>
    <t>Example Vendor 085</t>
  </si>
  <si>
    <t>Example Vendor 086</t>
  </si>
  <si>
    <t>Example Vendor 087</t>
  </si>
  <si>
    <t>Example Vendor 088</t>
  </si>
  <si>
    <t>Example Vendor 089</t>
  </si>
  <si>
    <t>Example Vendor 090</t>
  </si>
  <si>
    <t>Example Vendor 091</t>
  </si>
  <si>
    <t>Example Vendor 092</t>
  </si>
  <si>
    <t>Example Vendor 093</t>
  </si>
  <si>
    <t>Example Vendor 094</t>
  </si>
  <si>
    <t>Example Vendor 095</t>
  </si>
  <si>
    <t>Example Vendor 096</t>
  </si>
  <si>
    <t>Example Vendor 097</t>
  </si>
  <si>
    <t>Example Vendor 098</t>
  </si>
  <si>
    <t>Example Vendor 099</t>
  </si>
  <si>
    <t>Example Vendor 100</t>
  </si>
  <si>
    <t>Example Vendor 101</t>
  </si>
  <si>
    <t>Example Vendor 102</t>
  </si>
  <si>
    <t>Example Vendor 103</t>
  </si>
  <si>
    <t>Example Vendor 104</t>
  </si>
  <si>
    <t>Example Vendor 105</t>
  </si>
  <si>
    <t>Example Vendor 106</t>
  </si>
  <si>
    <t>Example Vendor 107</t>
  </si>
  <si>
    <t>Example Contract 001</t>
  </si>
  <si>
    <t>Example Contract 002</t>
  </si>
  <si>
    <t>Example Contract 003</t>
  </si>
  <si>
    <t>Example Contract 004</t>
  </si>
  <si>
    <t>Example Contract 005</t>
  </si>
  <si>
    <t>Example Contract 006</t>
  </si>
  <si>
    <t>Example Contract 007</t>
  </si>
  <si>
    <t>Example Contract 008</t>
  </si>
  <si>
    <t>Example Contract 009</t>
  </si>
  <si>
    <t>Example Contract 010</t>
  </si>
  <si>
    <t>Example Contract 011</t>
  </si>
  <si>
    <t>Example Contract 012</t>
  </si>
  <si>
    <t>Example Contract 013</t>
  </si>
  <si>
    <t>Example Contract 014</t>
  </si>
  <si>
    <t>Example Contract 015</t>
  </si>
  <si>
    <t>Example Contract 016</t>
  </si>
  <si>
    <t>Example Contract 017</t>
  </si>
  <si>
    <t>Example Contract 018</t>
  </si>
  <si>
    <t>Example Contract 019</t>
  </si>
  <si>
    <t>Example Contract 020</t>
  </si>
  <si>
    <t>Example Contract 021</t>
  </si>
  <si>
    <t>Example Contract 022</t>
  </si>
  <si>
    <t>Example Contract 023</t>
  </si>
  <si>
    <t>Example Contract 024</t>
  </si>
  <si>
    <t>Example Contract 025</t>
  </si>
  <si>
    <t>Example Contract 026</t>
  </si>
  <si>
    <t>Example Contract 027</t>
  </si>
  <si>
    <t>Example Contract 028</t>
  </si>
  <si>
    <t>Example Contract 029</t>
  </si>
  <si>
    <t>Example Contract 030</t>
  </si>
  <si>
    <t>Example Contract 031</t>
  </si>
  <si>
    <t>Example Contract 032</t>
  </si>
  <si>
    <t>Example Contract 033</t>
  </si>
  <si>
    <t>Example Contract 034</t>
  </si>
  <si>
    <t>Example Contract 035</t>
  </si>
  <si>
    <t>Example Contract 036</t>
  </si>
  <si>
    <t>Example Contract 037</t>
  </si>
  <si>
    <t>Example Contract 038</t>
  </si>
  <si>
    <t>Example Contract 039</t>
  </si>
  <si>
    <t>Example Contract 040</t>
  </si>
  <si>
    <t>Example Contract 041</t>
  </si>
  <si>
    <t>Example Contract 042</t>
  </si>
  <si>
    <t>Example Contract 043</t>
  </si>
  <si>
    <t>Example Contract 044</t>
  </si>
  <si>
    <t>Example Contract 045</t>
  </si>
  <si>
    <t>Example Contract 046</t>
  </si>
  <si>
    <t>Example Contract 047</t>
  </si>
  <si>
    <t>Example Contract 048</t>
  </si>
  <si>
    <t>Example Contract 049</t>
  </si>
  <si>
    <t>Example Contract 050</t>
  </si>
  <si>
    <t>Example Contract 051</t>
  </si>
  <si>
    <t>Example Contract 052</t>
  </si>
  <si>
    <t>Example Contract 053</t>
  </si>
  <si>
    <t>Example Contract 054</t>
  </si>
  <si>
    <t>Example Contract 055</t>
  </si>
  <si>
    <t>Example Contract 056</t>
  </si>
  <si>
    <t>Example Contract 057</t>
  </si>
  <si>
    <t>Example Contract 058</t>
  </si>
  <si>
    <t>Example Contract 059</t>
  </si>
  <si>
    <t>Example Contract 060</t>
  </si>
  <si>
    <t>Example Contract 061</t>
  </si>
  <si>
    <t>Example Contract 062</t>
  </si>
  <si>
    <t>Example Contract 063</t>
  </si>
  <si>
    <t>Example Contract 064</t>
  </si>
  <si>
    <t>Example Contract 065</t>
  </si>
  <si>
    <t>Example Contract 066</t>
  </si>
  <si>
    <t>Example Contract 067</t>
  </si>
  <si>
    <t>Example Contract 068</t>
  </si>
  <si>
    <t>Example Contract 069</t>
  </si>
  <si>
    <t>Example Contract 070</t>
  </si>
  <si>
    <t>Example Contract 071</t>
  </si>
  <si>
    <t>Example Contract 072</t>
  </si>
  <si>
    <t>Example Contract 073</t>
  </si>
  <si>
    <t>Example Contract 074</t>
  </si>
  <si>
    <t>Example Contract 075</t>
  </si>
  <si>
    <t>Example Contract 076</t>
  </si>
  <si>
    <t>Example Contract 077</t>
  </si>
  <si>
    <t>Example Contract 078</t>
  </si>
  <si>
    <t>Example Contract 079</t>
  </si>
  <si>
    <t>Example Contract 080</t>
  </si>
  <si>
    <t>Example Contract 081</t>
  </si>
  <si>
    <t>Example Contract 082</t>
  </si>
  <si>
    <t>Example Contract 083</t>
  </si>
  <si>
    <t>Example Contract 084</t>
  </si>
  <si>
    <t>Example Contract 085</t>
  </si>
  <si>
    <t>Example Contract 086</t>
  </si>
  <si>
    <t>Example Contract 087</t>
  </si>
  <si>
    <t>Example Contract 088</t>
  </si>
  <si>
    <t>Example Contract 089</t>
  </si>
  <si>
    <t>Example Contract 090</t>
  </si>
  <si>
    <t>Example Contract 091</t>
  </si>
  <si>
    <t>Example Contract 092</t>
  </si>
  <si>
    <t>Example Contract 093</t>
  </si>
  <si>
    <t>Example Contract 094</t>
  </si>
  <si>
    <t>Example Contract 095</t>
  </si>
  <si>
    <t>Example Contract 096</t>
  </si>
  <si>
    <t>Example Contract 097</t>
  </si>
  <si>
    <t>Example Contract 098</t>
  </si>
  <si>
    <t>Example Contract 099</t>
  </si>
  <si>
    <t>Example Contract 100</t>
  </si>
  <si>
    <t>Example Contract 101</t>
  </si>
  <si>
    <t>Example Contract 102</t>
  </si>
  <si>
    <t>Example Contract 103</t>
  </si>
  <si>
    <t>Example Contract 104</t>
  </si>
  <si>
    <t>Example Contract 105</t>
  </si>
  <si>
    <t>Example Contract 106</t>
  </si>
  <si>
    <t>Example Contract 107</t>
  </si>
  <si>
    <t>Example Contract 108</t>
  </si>
  <si>
    <t>Example Contract 109</t>
  </si>
  <si>
    <t>Example Contract 110</t>
  </si>
  <si>
    <t>Example Contract 111</t>
  </si>
  <si>
    <t>Example Contract 112</t>
  </si>
  <si>
    <t>Example Contract 113</t>
  </si>
  <si>
    <t>Example Contract 114</t>
  </si>
  <si>
    <t>Example Contract 115</t>
  </si>
  <si>
    <t>Example Contract 116</t>
  </si>
  <si>
    <t>Example Contract 117</t>
  </si>
  <si>
    <t>Example Contract 118</t>
  </si>
  <si>
    <t>Example Contract 119</t>
  </si>
  <si>
    <t>Example Contract 120</t>
  </si>
  <si>
    <t>Example Contract 121</t>
  </si>
  <si>
    <t>Example Contract 122</t>
  </si>
  <si>
    <t>Example Contract 123</t>
  </si>
  <si>
    <t>Example Contract 124</t>
  </si>
  <si>
    <t>Example Contract 125</t>
  </si>
  <si>
    <t>Example Contract 126</t>
  </si>
  <si>
    <t>Example Contract 127</t>
  </si>
  <si>
    <t>Example Contract 128</t>
  </si>
  <si>
    <t>Example Contract 129</t>
  </si>
  <si>
    <t>Example Contract 130</t>
  </si>
  <si>
    <t>Example Contract 131</t>
  </si>
  <si>
    <t>Example Contract 132</t>
  </si>
  <si>
    <t>Example Contract 133</t>
  </si>
  <si>
    <t>Example Contract 134</t>
  </si>
  <si>
    <t>Example Contract 135</t>
  </si>
  <si>
    <t>Example Contract 136</t>
  </si>
  <si>
    <t>Example Contract 137</t>
  </si>
  <si>
    <t>Example Contract 138</t>
  </si>
  <si>
    <t>Example Contract 139</t>
  </si>
  <si>
    <t>Example Contract 140</t>
  </si>
  <si>
    <t>Example Contract 141</t>
  </si>
  <si>
    <t>Example Contract 142</t>
  </si>
  <si>
    <t>Example status update</t>
  </si>
  <si>
    <t>The tracked V1 budget is $23,692,506 and entered renewal prices total $22,938,226. The signed net identified costout in Column J is $753,725. Of the $1,028,442 gross positive costout identified, $556,025 is finalised (54.1%); $274,717 is separately classified as budget variance / reclassification.</t>
  </si>
  <si>
    <t>Definitions: Net identified costout = the signed total of Column J across Licensing, Consumption, New Spend and Microsoft. Gross positive costout = positive Column J only. Finalised positive costout = positive Column J where Finalised? is Y. Budget variance / reclassification = the absolute value of negative Column J. Entered renewal price sums values currently populated in Column I. Data note: 8 tracked renewal-price cells are blank, covering $91,963 of V1 budget.</t>
  </si>
  <si>
    <t/>
  </si>
  <si>
    <t>Committed summary</t>
  </si>
  <si>
    <t>22 committed items</t>
  </si>
  <si>
    <t>Upcoming licensing vendors</t>
  </si>
  <si>
    <t>Contract date</t>
  </si>
  <si>
    <t>Licensing summary</t>
  </si>
  <si>
    <t>06-Aug-26</t>
  </si>
  <si>
    <t>85 uncommitted items</t>
  </si>
  <si>
    <t>08-Sep-26</t>
  </si>
  <si>
    <t>11-Sep-26</t>
  </si>
  <si>
    <t>12-Sep-26</t>
  </si>
  <si>
    <t>30-Sep-26</t>
  </si>
  <si>
    <t>03-Oct-26</t>
  </si>
  <si>
    <t>09-Oct-26</t>
  </si>
  <si>
    <t>02-Nov-26</t>
  </si>
  <si>
    <t>14-Nov-26</t>
  </si>
  <si>
    <t>28-Nov-26</t>
  </si>
  <si>
    <t>29-Nov-26</t>
  </si>
  <si>
    <t>30-Nov-26</t>
  </si>
  <si>
    <t>01-Dec-26</t>
  </si>
  <si>
    <t>04-Dec-26</t>
  </si>
  <si>
    <t>08-Dec-26</t>
  </si>
  <si>
    <t>12-Dec-26</t>
  </si>
  <si>
    <t>15-Dec-26</t>
  </si>
  <si>
    <t>16-Dec-26</t>
  </si>
  <si>
    <t>17-Dec-26</t>
  </si>
  <si>
    <t>22-Dec-26</t>
  </si>
  <si>
    <t>31-Dec-26</t>
  </si>
  <si>
    <t>05-Jan-27</t>
  </si>
  <si>
    <t>14-Jan-27</t>
  </si>
  <si>
    <t>19-Jan-27</t>
  </si>
  <si>
    <t>20-Jan-27</t>
  </si>
  <si>
    <t>21-Jan-27</t>
  </si>
  <si>
    <t>25-Jan-27</t>
  </si>
  <si>
    <t>22-Feb-27</t>
  </si>
  <si>
    <t>09-Mar-27</t>
  </si>
  <si>
    <t>12-Mar-27</t>
  </si>
  <si>
    <t>16-Mar-27</t>
  </si>
  <si>
    <t>30-Mar-27</t>
  </si>
  <si>
    <t>31-Mar-27</t>
  </si>
  <si>
    <t>03-Apr-27</t>
  </si>
  <si>
    <t>20-Apr-27</t>
  </si>
  <si>
    <t>27-Apr-27</t>
  </si>
  <si>
    <t>30-Apr-27</t>
  </si>
  <si>
    <t>04-May-27</t>
  </si>
  <si>
    <t>09-May-27</t>
  </si>
  <si>
    <t>13-May-27</t>
  </si>
  <si>
    <t>17-May-27</t>
  </si>
  <si>
    <t>21-May-27</t>
  </si>
  <si>
    <t>31-May-27</t>
  </si>
  <si>
    <t>01-Jun-27</t>
  </si>
  <si>
    <t>02-Jun-27</t>
  </si>
  <si>
    <t>04-Jun-27</t>
  </si>
  <si>
    <t>11-Jun-27</t>
  </si>
  <si>
    <t>30-Jun-27</t>
  </si>
  <si>
    <t>No committed consumption items</t>
  </si>
  <si>
    <t>0 committed items</t>
  </si>
  <si>
    <t>Upcoming consumption vendors</t>
  </si>
  <si>
    <t>Upcoming summary</t>
  </si>
  <si>
    <t>25 uncommitted items</t>
  </si>
  <si>
    <t>No committed new spend items</t>
  </si>
  <si>
    <t>Upcoming new spend vendors</t>
  </si>
  <si>
    <t>10 uncommitted items</t>
  </si>
  <si>
    <t>The tracked V1 budget is $23,692,506 and entered renewal prices total $22,962,976. The signed net identified costout in Column J is $728,975. Of the $1,009,252 gross positive costout identified, $320,983 is finalised (31.8%); $280,277 is separately classified as budget variance / reclassification.</t>
  </si>
  <si>
    <t>12 committed items</t>
  </si>
  <si>
    <t>31-Jul-26</t>
  </si>
  <si>
    <t>95 uncommitted items</t>
  </si>
  <si>
    <t>07-Aug-26</t>
  </si>
  <si>
    <t>21-Aug-26</t>
  </si>
  <si>
    <t>30-Aug-26</t>
  </si>
  <si>
    <t>31-Aug-26</t>
  </si>
  <si>
    <t>02-Oct-26</t>
  </si>
  <si>
    <t>06-Oct-26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</si>
</sst>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;[Red]\-&quot;$&quot;#,##0.00"/>
    <numFmt numFmtId="164" formatCode="&quot;£&quot;#,##0.00;[Red]\-&quot;£&quot;#,##0.00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-&quot;£&quot;* #,##0_-;\-&quot;£&quot;* #,##0_-;_-&quot;£&quot;* &quot;-&quot;??_-;_-@_-"/>
    <numFmt numFmtId="168" formatCode="_-[$$-409]* #,##0.00_ ;_-[$$-409]* \-#,##0.00\ ;_-[$$-409]* &quot;-&quot;??_ ;_-@_ "/>
    <numFmt numFmtId="169" formatCode="_-[$$-C09]* #,##0.00_-;\-[$$-C09]* #,##0.00_-;_-[$$-C09]* &quot;-&quot;??_-;_-@_-"/>
    <numFmt numFmtId="170" formatCode="mmm\-yyyy"/>
    <numFmt numFmtId="171" formatCode="&quot;$&quot;#,##0.00;[Red]\-&quot;$&quot;#,##0.00;&quot;$&quot;\-"/>
    <numFmt numFmtId="172" formatCode="&quot;$&quot;#,##0;[Red]\-&quot;$&quot;#,##0;&quot;$&quot;\-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indexed="81"/>
      <name val="Tahoma"/>
      <family val="2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C00000"/>
      <name val="Aptos Narrow"/>
      <family val="2"/>
      <scheme val="minor"/>
    </font>
    <font>
      <sz val="9"/>
      <color rgb="FF000000"/>
      <name val="Arial"/>
      <family val="2"/>
    </font>
    <font>
      <b/>
      <sz val="14"/>
      <color theme="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20"/>
      <color rgb="FF17365D"/>
      <name val="Aptos Narrow"/>
      <family val="2"/>
      <scheme val="minor"/>
    </font>
    <font>
      <i/>
      <sz val="11"/>
      <color rgb="FF333333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9"/>
      <color rgb="FF555555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66" fontId="0" fillId="0" borderId="0" xfId="1" applyFont="1"/>
    <xf numFmtId="15" fontId="0" fillId="0" borderId="0" xfId="0" applyNumberFormat="1"/>
    <xf numFmtId="0" fontId="4" fillId="0" borderId="0" xfId="0" applyFont="1"/>
    <xf numFmtId="15" fontId="0" fillId="0" borderId="0" xfId="2" applyNumberFormat="1" applyFont="1" applyFill="1"/>
    <xf numFmtId="0" fontId="0" fillId="0" borderId="0" xfId="0" applyAlignment="1">
      <alignment wrapText="1"/>
    </xf>
    <xf numFmtId="0" fontId="1" fillId="0" borderId="0" xfId="2" applyFont="1" applyFill="1"/>
    <xf numFmtId="0" fontId="5" fillId="0" borderId="0" xfId="2" applyFont="1" applyFill="1"/>
    <xf numFmtId="15" fontId="5" fillId="0" borderId="0" xfId="0" applyNumberFormat="1" applyFont="1"/>
    <xf numFmtId="0" fontId="0" fillId="0" borderId="0" xfId="0" applyAlignment="1">
      <alignment horizontal="left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 applyProtection="1">
      <alignment vertical="top" wrapText="1"/>
      <protection locked="0"/>
    </xf>
    <xf numFmtId="165" fontId="7" fillId="0" borderId="1" xfId="1" applyNumberFormat="1" applyFont="1" applyBorder="1" applyAlignment="1" applyProtection="1">
      <alignment vertical="top" wrapText="1"/>
    </xf>
    <xf numFmtId="165" fontId="7" fillId="0" borderId="1" xfId="1" applyNumberFormat="1" applyFont="1" applyFill="1" applyBorder="1" applyAlignment="1" applyProtection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7" borderId="1" xfId="0" applyFont="1" applyFill="1" applyBorder="1" applyAlignment="1" applyProtection="1">
      <alignment vertical="top" wrapText="1"/>
      <protection locked="0"/>
    </xf>
    <xf numFmtId="0" fontId="7" fillId="7" borderId="1" xfId="0" applyFont="1" applyFill="1" applyBorder="1" applyAlignment="1" applyProtection="1">
      <alignment horizontal="left" vertical="top" wrapText="1"/>
      <protection locked="0"/>
    </xf>
    <xf numFmtId="0" fontId="8" fillId="7" borderId="1" xfId="0" applyFont="1" applyFill="1" applyBorder="1" applyAlignment="1" applyProtection="1">
      <alignment vertical="top" wrapText="1"/>
      <protection locked="0"/>
    </xf>
    <xf numFmtId="0" fontId="7" fillId="0" borderId="0" xfId="0" applyFont="1" applyAlignment="1" applyProtection="1">
      <alignment vertical="top" wrapText="1"/>
      <protection locked="0"/>
    </xf>
    <xf numFmtId="165" fontId="7" fillId="7" borderId="1" xfId="1" applyNumberFormat="1" applyFont="1" applyFill="1" applyBorder="1" applyAlignment="1" applyProtection="1">
      <alignment vertical="top" wrapText="1"/>
    </xf>
    <xf numFmtId="0" fontId="7" fillId="0" borderId="1" xfId="0" applyFont="1" applyBorder="1" applyAlignment="1" applyProtection="1">
      <alignment horizontal="left" vertical="top" wrapText="1"/>
      <protection locked="0"/>
    </xf>
    <xf numFmtId="0" fontId="7" fillId="8" borderId="1" xfId="0" applyFont="1" applyFill="1" applyBorder="1" applyAlignment="1" applyProtection="1">
      <alignment vertical="top" wrapText="1"/>
      <protection locked="0"/>
    </xf>
    <xf numFmtId="165" fontId="7" fillId="0" borderId="1" xfId="1" applyNumberFormat="1" applyFont="1" applyBorder="1" applyAlignment="1">
      <alignment vertical="top" wrapText="1"/>
    </xf>
    <xf numFmtId="0" fontId="10" fillId="9" borderId="1" xfId="0" applyFont="1" applyFill="1" applyBorder="1" applyAlignment="1" applyProtection="1">
      <alignment horizontal="left" vertical="top" wrapText="1"/>
      <protection locked="0"/>
    </xf>
    <xf numFmtId="0" fontId="10" fillId="9" borderId="1" xfId="0" applyFont="1" applyFill="1" applyBorder="1" applyAlignment="1" applyProtection="1">
      <alignment vertical="top" wrapText="1"/>
      <protection locked="0"/>
    </xf>
    <xf numFmtId="0" fontId="11" fillId="9" borderId="1" xfId="0" applyFont="1" applyFill="1" applyBorder="1" applyAlignment="1" applyProtection="1">
      <alignment horizontal="left" vertical="top" wrapText="1"/>
      <protection locked="0"/>
    </xf>
    <xf numFmtId="17" fontId="10" fillId="5" borderId="1" xfId="0" applyNumberFormat="1" applyFont="1" applyFill="1" applyBorder="1" applyAlignment="1">
      <alignment horizontal="center" vertical="top" wrapText="1"/>
    </xf>
    <xf numFmtId="17" fontId="10" fillId="0" borderId="1" xfId="0" applyNumberFormat="1" applyFont="1" applyBorder="1" applyAlignment="1">
      <alignment horizontal="left" vertical="top" wrapText="1"/>
    </xf>
    <xf numFmtId="17" fontId="10" fillId="10" borderId="1" xfId="0" applyNumberFormat="1" applyFont="1" applyFill="1" applyBorder="1" applyAlignment="1">
      <alignment horizontal="center" vertical="top" wrapText="1"/>
    </xf>
    <xf numFmtId="0" fontId="12" fillId="0" borderId="0" xfId="0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7" fillId="0" borderId="0" xfId="0" applyFont="1" applyAlignment="1">
      <alignment vertical="top" wrapText="1"/>
    </xf>
    <xf numFmtId="0" fontId="14" fillId="0" borderId="0" xfId="0" applyFont="1" applyAlignment="1" applyProtection="1">
      <alignment horizontal="left" vertical="top" wrapText="1"/>
      <protection locked="0"/>
    </xf>
    <xf numFmtId="0" fontId="15" fillId="7" borderId="0" xfId="0" applyFont="1" applyFill="1" applyAlignment="1" applyProtection="1">
      <alignment vertical="top"/>
      <protection locked="0"/>
    </xf>
    <xf numFmtId="0" fontId="15" fillId="7" borderId="0" xfId="0" applyFont="1" applyFill="1" applyAlignment="1" applyProtection="1">
      <alignment vertical="top" wrapText="1"/>
      <protection locked="0"/>
    </xf>
    <xf numFmtId="0" fontId="16" fillId="7" borderId="0" xfId="0" applyFont="1" applyFill="1" applyAlignment="1" applyProtection="1">
      <alignment vertical="top"/>
      <protection locked="0"/>
    </xf>
    <xf numFmtId="0" fontId="14" fillId="7" borderId="0" xfId="0" applyFont="1" applyFill="1" applyAlignment="1" applyProtection="1">
      <alignment vertical="top" wrapText="1"/>
      <protection locked="0"/>
    </xf>
    <xf numFmtId="0" fontId="14" fillId="7" borderId="0" xfId="0" applyFont="1" applyFill="1" applyAlignment="1" applyProtection="1">
      <alignment vertical="top"/>
      <protection locked="0"/>
    </xf>
    <xf numFmtId="0" fontId="8" fillId="0" borderId="0" xfId="0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167" fontId="10" fillId="0" borderId="0" xfId="0" applyNumberFormat="1" applyFont="1" applyAlignment="1">
      <alignment vertical="top" wrapText="1"/>
    </xf>
    <xf numFmtId="0" fontId="7" fillId="0" borderId="0" xfId="0" applyFont="1" applyAlignment="1" applyProtection="1">
      <alignment horizontal="center" vertical="top" wrapText="1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0" fontId="10" fillId="5" borderId="0" xfId="0" applyFont="1" applyFill="1" applyAlignment="1">
      <alignment horizontal="center" vertical="top" wrapText="1"/>
    </xf>
    <xf numFmtId="0" fontId="10" fillId="10" borderId="0" xfId="0" applyFont="1" applyFill="1" applyAlignment="1">
      <alignment horizontal="center" vertical="top" wrapText="1"/>
    </xf>
    <xf numFmtId="164" fontId="7" fillId="0" borderId="1" xfId="0" applyNumberFormat="1" applyFont="1" applyBorder="1" applyAlignment="1">
      <alignment horizontal="left" vertical="top" wrapText="1"/>
    </xf>
    <xf numFmtId="14" fontId="7" fillId="0" borderId="1" xfId="0" applyNumberFormat="1" applyFont="1" applyBorder="1" applyAlignment="1">
      <alignment vertical="top" wrapText="1"/>
    </xf>
    <xf numFmtId="14" fontId="8" fillId="0" borderId="1" xfId="0" applyNumberFormat="1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7" fillId="0" borderId="2" xfId="0" applyFont="1" applyBorder="1" applyAlignment="1" applyProtection="1">
      <alignment vertical="top" wrapText="1"/>
      <protection locked="0"/>
    </xf>
    <xf numFmtId="0" fontId="7" fillId="7" borderId="3" xfId="0" applyFont="1" applyFill="1" applyBorder="1" applyAlignment="1" applyProtection="1">
      <alignment vertical="top" wrapText="1"/>
      <protection locked="0"/>
    </xf>
    <xf numFmtId="165" fontId="7" fillId="7" borderId="1" xfId="1" applyNumberFormat="1" applyFont="1" applyFill="1" applyBorder="1" applyAlignment="1">
      <alignment vertical="top" wrapText="1"/>
    </xf>
    <xf numFmtId="165" fontId="7" fillId="0" borderId="1" xfId="1" applyNumberFormat="1" applyFont="1" applyFill="1" applyBorder="1" applyAlignment="1">
      <alignment vertical="top" wrapText="1"/>
    </xf>
    <xf numFmtId="0" fontId="17" fillId="7" borderId="1" xfId="0" applyFont="1" applyFill="1" applyBorder="1" applyAlignment="1" applyProtection="1">
      <alignment vertical="top" wrapText="1"/>
      <protection locked="0"/>
    </xf>
    <xf numFmtId="0" fontId="19" fillId="0" borderId="1" xfId="0" applyFont="1" applyBorder="1" applyAlignment="1" applyProtection="1">
      <alignment vertical="top" wrapText="1"/>
      <protection locked="0"/>
    </xf>
    <xf numFmtId="14" fontId="8" fillId="2" borderId="1" xfId="2" applyNumberFormat="1" applyFont="1" applyBorder="1" applyAlignment="1" applyProtection="1">
      <alignment vertical="top" wrapText="1"/>
    </xf>
    <xf numFmtId="0" fontId="7" fillId="0" borderId="1" xfId="2" applyFont="1" applyFill="1" applyBorder="1" applyAlignment="1" applyProtection="1">
      <alignment vertical="top" wrapText="1"/>
    </xf>
    <xf numFmtId="165" fontId="7" fillId="8" borderId="1" xfId="1" applyNumberFormat="1" applyFont="1" applyFill="1" applyBorder="1" applyAlignment="1" applyProtection="1">
      <alignment vertical="top" wrapText="1"/>
    </xf>
    <xf numFmtId="0" fontId="20" fillId="0" borderId="1" xfId="0" applyFont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14" fontId="8" fillId="2" borderId="1" xfId="2" applyNumberFormat="1" applyFont="1" applyBorder="1" applyAlignment="1">
      <alignment vertical="top" wrapText="1"/>
    </xf>
    <xf numFmtId="0" fontId="8" fillId="0" borderId="1" xfId="0" applyFont="1" applyBorder="1" applyAlignment="1" applyProtection="1">
      <alignment vertical="top" wrapText="1"/>
      <protection locked="0"/>
    </xf>
    <xf numFmtId="14" fontId="7" fillId="0" borderId="1" xfId="0" applyNumberFormat="1" applyFont="1" applyBorder="1" applyAlignment="1" applyProtection="1">
      <alignment vertical="top" wrapText="1"/>
      <protection locked="0"/>
    </xf>
    <xf numFmtId="14" fontId="8" fillId="0" borderId="1" xfId="0" applyNumberFormat="1" applyFont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vertical="top" wrapText="1"/>
    </xf>
    <xf numFmtId="14" fontId="7" fillId="7" borderId="1" xfId="0" applyNumberFormat="1" applyFont="1" applyFill="1" applyBorder="1" applyAlignment="1" applyProtection="1">
      <alignment vertical="top" wrapText="1"/>
      <protection locked="0"/>
    </xf>
    <xf numFmtId="14" fontId="8" fillId="7" borderId="1" xfId="0" applyNumberFormat="1" applyFont="1" applyFill="1" applyBorder="1" applyAlignment="1" applyProtection="1">
      <alignment vertical="top" wrapText="1"/>
      <protection locked="0"/>
    </xf>
    <xf numFmtId="0" fontId="13" fillId="7" borderId="1" xfId="3" applyFill="1" applyBorder="1" applyAlignment="1" applyProtection="1">
      <alignment vertical="top" wrapText="1"/>
      <protection locked="0"/>
    </xf>
    <xf numFmtId="165" fontId="7" fillId="4" borderId="1" xfId="1" applyNumberFormat="1" applyFont="1" applyFill="1" applyBorder="1" applyAlignment="1">
      <alignment vertical="top" wrapText="1"/>
    </xf>
    <xf numFmtId="165" fontId="7" fillId="4" borderId="1" xfId="1" applyNumberFormat="1" applyFont="1" applyFill="1" applyBorder="1" applyAlignment="1" applyProtection="1">
      <alignment vertical="top" wrapText="1"/>
    </xf>
    <xf numFmtId="14" fontId="7" fillId="7" borderId="1" xfId="0" applyNumberFormat="1" applyFont="1" applyFill="1" applyBorder="1" applyAlignment="1">
      <alignment vertical="top" wrapText="1"/>
    </xf>
    <xf numFmtId="14" fontId="8" fillId="7" borderId="1" xfId="0" applyNumberFormat="1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left" vertical="top" wrapText="1"/>
    </xf>
    <xf numFmtId="165" fontId="7" fillId="0" borderId="0" xfId="1" applyNumberFormat="1" applyFont="1" applyAlignment="1" applyProtection="1">
      <alignment vertical="top" wrapText="1"/>
    </xf>
    <xf numFmtId="168" fontId="7" fillId="0" borderId="0" xfId="0" applyNumberFormat="1" applyFont="1" applyAlignment="1" applyProtection="1">
      <alignment vertical="top" wrapText="1"/>
      <protection locked="0"/>
    </xf>
    <xf numFmtId="168" fontId="7" fillId="0" borderId="1" xfId="1" applyNumberFormat="1" applyFont="1" applyBorder="1" applyAlignment="1">
      <alignment vertical="top" wrapText="1"/>
    </xf>
    <xf numFmtId="169" fontId="0" fillId="0" borderId="0" xfId="1" applyNumberFormat="1" applyFont="1"/>
    <xf numFmtId="169" fontId="0" fillId="4" borderId="0" xfId="1" applyNumberFormat="1" applyFont="1" applyFill="1"/>
    <xf numFmtId="169" fontId="0" fillId="0" borderId="4" xfId="1" applyNumberFormat="1" applyFont="1" applyBorder="1"/>
    <xf numFmtId="169" fontId="3" fillId="0" borderId="0" xfId="1" applyNumberFormat="1" applyFont="1"/>
    <xf numFmtId="169" fontId="0" fillId="0" borderId="0" xfId="1" applyNumberFormat="1" applyFont="1" applyFill="1"/>
    <xf numFmtId="169" fontId="0" fillId="0" borderId="0" xfId="0" applyNumberFormat="1"/>
    <xf numFmtId="169" fontId="0" fillId="3" borderId="0" xfId="1" applyNumberFormat="1" applyFont="1" applyFill="1"/>
    <xf numFmtId="169" fontId="0" fillId="6" borderId="0" xfId="1" applyNumberFormat="1" applyFont="1" applyFill="1"/>
    <xf numFmtId="169" fontId="0" fillId="0" borderId="5" xfId="1" applyNumberFormat="1" applyFont="1" applyFill="1" applyBorder="1"/>
    <xf numFmtId="169" fontId="0" fillId="0" borderId="0" xfId="1" applyNumberFormat="1" applyFont="1" applyFill="1" applyBorder="1"/>
    <xf numFmtId="169" fontId="0" fillId="0" borderId="5" xfId="0" applyNumberFormat="1" applyBorder="1"/>
    <xf numFmtId="8" fontId="0" fillId="0" borderId="0" xfId="0" applyNumberFormat="1"/>
    <xf numFmtId="170" fontId="3" fillId="3" borderId="0" xfId="0" applyNumberFormat="1" applyFont="1" applyFill="1" applyAlignment="1">
      <alignment horizontal="center"/>
    </xf>
    <xf numFmtId="170" fontId="3" fillId="5" borderId="0" xfId="0" applyNumberFormat="1" applyFont="1" applyFill="1" applyAlignment="1">
      <alignment horizontal="center"/>
    </xf>
    <xf numFmtId="169" fontId="0" fillId="5" borderId="0" xfId="1" applyNumberFormat="1" applyFont="1" applyFill="1"/>
    <xf numFmtId="14" fontId="3" fillId="4" borderId="0" xfId="0" applyNumberFormat="1" applyFont="1" applyFill="1" applyAlignment="1">
      <alignment horizontal="center"/>
    </xf>
    <xf numFmtId="169" fontId="3" fillId="3" borderId="6" xfId="1" applyNumberFormat="1" applyFont="1" applyFill="1" applyBorder="1"/>
    <xf numFmtId="169" fontId="3" fillId="5" borderId="6" xfId="1" applyNumberFormat="1" applyFont="1" applyFill="1" applyBorder="1"/>
    <xf numFmtId="169" fontId="3" fillId="4" borderId="6" xfId="1" applyNumberFormat="1" applyFont="1" applyFill="1" applyBorder="1"/>
    <xf numFmtId="0" fontId="3" fillId="11" borderId="0" xfId="0" applyFont="1" applyFill="1" applyAlignment="1">
      <alignment horizontal="center"/>
    </xf>
    <xf numFmtId="0" fontId="0" fillId="11" borderId="0" xfId="0" applyFill="1"/>
    <xf numFmtId="0" fontId="3" fillId="11" borderId="6" xfId="0" applyFont="1" applyFill="1" applyBorder="1"/>
    <xf numFmtId="0" fontId="0" fillId="11" borderId="6" xfId="0" applyFill="1" applyBorder="1"/>
    <xf numFmtId="169" fontId="0" fillId="5" borderId="0" xfId="0" applyNumberFormat="1" applyFill="1"/>
    <xf numFmtId="0" fontId="3" fillId="5" borderId="0" xfId="0" applyFont="1" applyFill="1" applyAlignment="1">
      <alignment horizontal="center"/>
    </xf>
    <xf numFmtId="0" fontId="21" fillId="13" borderId="0" xfId="0" applyFont="1" applyFill="1"/>
    <xf numFmtId="169" fontId="0" fillId="12" borderId="0" xfId="0" applyNumberFormat="1" applyFill="1"/>
    <xf numFmtId="169" fontId="0" fillId="12" borderId="0" xfId="0" applyNumberFormat="1" applyFill="1" applyAlignment="1">
      <alignment wrapText="1"/>
    </xf>
    <xf numFmtId="169" fontId="0" fillId="0" borderId="0" xfId="2" applyNumberFormat="1" applyFont="1" applyFill="1"/>
    <xf numFmtId="169" fontId="5" fillId="0" borderId="0" xfId="0" applyNumberFormat="1" applyFont="1"/>
    <xf numFmtId="0" fontId="22" fillId="14" borderId="0" xfId="0" applyFont="1" applyFill="1"/>
    <xf numFmtId="171" fontId="0" fillId="0" borderId="0" xfId="0" applyNumberFormat="1" applyAlignment="1">
      <alignment horizontal="right"/>
    </xf>
    <xf numFmtId="0" fontId="22" fillId="1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71" fontId="4" fillId="0" borderId="0" xfId="0" applyNumberFormat="1" applyFont="1" applyAlignment="1">
      <alignment horizontal="right"/>
    </xf>
    <xf numFmtId="171" fontId="0" fillId="0" borderId="0" xfId="0" applyNumberFormat="1" applyAlignment="1">
      <alignment horizontal="left"/>
    </xf>
    <xf numFmtId="171" fontId="4" fillId="0" borderId="0" xfId="0" applyNumberFormat="1" applyFont="1" applyAlignment="1">
      <alignment horizontal="left"/>
    </xf>
    <xf numFmtId="171" fontId="0" fillId="0" borderId="0" xfId="1" applyNumberFormat="1" applyFont="1" applyAlignment="1">
      <alignment horizontal="right"/>
    </xf>
    <xf numFmtId="0" fontId="24" fillId="0" borderId="0" xfId="0" applyFont="1"/>
    <xf numFmtId="172" fontId="0" fillId="0" borderId="0" xfId="0" applyNumberFormat="1"/>
    <xf numFmtId="0" fontId="3" fillId="21" borderId="9" xfId="0" applyFont="1" applyFill="1" applyBorder="1"/>
    <xf numFmtId="172" fontId="0" fillId="18" borderId="8" xfId="0" applyNumberFormat="1" applyFill="1" applyBorder="1" applyAlignment="1">
      <alignment horizontal="right"/>
    </xf>
    <xf numFmtId="172" fontId="0" fillId="19" borderId="8" xfId="0" applyNumberFormat="1" applyFill="1" applyBorder="1" applyAlignment="1">
      <alignment horizontal="right"/>
    </xf>
    <xf numFmtId="172" fontId="0" fillId="20" borderId="8" xfId="0" applyNumberFormat="1" applyFill="1" applyBorder="1" applyAlignment="1">
      <alignment horizontal="right"/>
    </xf>
    <xf numFmtId="172" fontId="3" fillId="16" borderId="8" xfId="0" applyNumberFormat="1" applyFont="1" applyFill="1" applyBorder="1" applyAlignment="1">
      <alignment horizontal="right"/>
    </xf>
    <xf numFmtId="172" fontId="3" fillId="21" borderId="9" xfId="0" applyNumberFormat="1" applyFont="1" applyFill="1" applyBorder="1" applyAlignment="1">
      <alignment horizontal="right"/>
    </xf>
    <xf numFmtId="0" fontId="3" fillId="16" borderId="8" xfId="0" applyFont="1" applyFill="1" applyBorder="1" applyAlignment="1">
      <alignment wrapText="1"/>
    </xf>
    <xf numFmtId="0" fontId="23" fillId="15" borderId="8" xfId="0" applyFont="1" applyFill="1" applyBorder="1" applyAlignment="1">
      <alignment horizontal="center"/>
    </xf>
    <xf numFmtId="0" fontId="0" fillId="16" borderId="8" xfId="0" applyFill="1" applyBorder="1" applyAlignment="1">
      <alignment wrapText="1"/>
    </xf>
    <xf numFmtId="0" fontId="0" fillId="18" borderId="8" xfId="0" applyFill="1" applyBorder="1" applyAlignment="1">
      <alignment wrapText="1"/>
    </xf>
    <xf numFmtId="0" fontId="0" fillId="19" borderId="8" xfId="0" applyFill="1" applyBorder="1" applyAlignment="1">
      <alignment wrapText="1"/>
    </xf>
    <xf numFmtId="0" fontId="0" fillId="20" borderId="9" xfId="0" applyFill="1" applyBorder="1" applyAlignment="1">
      <alignment wrapText="1"/>
    </xf>
    <xf numFmtId="172" fontId="0" fillId="16" borderId="8" xfId="0" applyNumberFormat="1" applyFill="1" applyBorder="1" applyAlignment="1">
      <alignment horizontal="right"/>
    </xf>
    <xf numFmtId="172" fontId="0" fillId="20" borderId="9" xfId="0" applyNumberFormat="1" applyFill="1" applyBorder="1" applyAlignment="1">
      <alignment horizontal="right"/>
    </xf>
    <xf numFmtId="0" fontId="23" fillId="15" borderId="8" xfId="0" applyFont="1" applyFill="1" applyBorder="1" applyAlignment="1">
      <alignment horizontal="center" wrapText="1"/>
    </xf>
    <xf numFmtId="0" fontId="0" fillId="16" borderId="8" xfId="0" applyFill="1" applyBorder="1"/>
    <xf numFmtId="0" fontId="5" fillId="0" borderId="0" xfId="0" applyFont="1" applyAlignment="1">
      <alignment wrapText="1"/>
    </xf>
    <xf numFmtId="0" fontId="1" fillId="0" borderId="0" xfId="2" applyFont="1" applyFill="1" applyAlignment="1">
      <alignment wrapText="1"/>
    </xf>
    <xf numFmtId="166" fontId="0" fillId="0" borderId="0" xfId="1" applyFont="1" applyAlignment="1">
      <alignment wrapText="1"/>
    </xf>
    <xf numFmtId="0" fontId="29" fillId="14" borderId="7" xfId="0" applyFont="1" applyFill="1" applyBorder="1"/>
    <xf numFmtId="0" fontId="30" fillId="22" borderId="0" xfId="0" applyFont="1" applyFill="1" applyAlignment="1">
      <alignment vertical="center" wrapText="1"/>
    </xf>
    <xf numFmtId="172" fontId="27" fillId="16" borderId="0" xfId="0" applyNumberFormat="1" applyFont="1" applyFill="1" applyAlignment="1">
      <alignment horizontal="center" vertical="center"/>
    </xf>
    <xf numFmtId="0" fontId="28" fillId="17" borderId="0" xfId="0" applyFont="1" applyFill="1" applyAlignment="1">
      <alignment vertical="center" wrapText="1"/>
    </xf>
    <xf numFmtId="0" fontId="25" fillId="14" borderId="0" xfId="0" applyFont="1" applyFill="1" applyAlignment="1">
      <alignment vertical="center"/>
    </xf>
    <xf numFmtId="0" fontId="26" fillId="0" borderId="0" xfId="0" applyFont="1"/>
    <xf numFmtId="0" fontId="23" fillId="15" borderId="0" xfId="0" applyFont="1" applyFill="1" applyAlignment="1">
      <alignment horizontal="center" vertical="center" wrapText="1"/>
    </xf>
  </cellXfs>
  <cellStyles count="4">
    <cellStyle name="Bad" xfId="2" builtinId="27"/>
    <cellStyle name="Currency" xfId="1" builtinId="4"/>
    <cellStyle name="Hyperlink" xfId="3" builtinId="8"/>
    <cellStyle name="Normal" xfId="0" builtinId="0"/>
  </cellStyles>
  <dxfs count="47"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231F6329-F28F-4BBC-BFFE-BF4DB1199243}">
    <Anchor>
      <Comment id="{2A31322F-8FFA-4E93-BB2A-60A65951E15A}"/>
    </Anchor>
    <History>
      <Event time="2026-04-16T07:47:40.20" id="{FA69D8DA-4B0F-4677-92B2-AB17C7F6E6EE}">
        <Attribution userId="S::jessy.tang@idp.com::f4126229-6dec-4e92-9fd8-651a674207a4" userName="Jessy Tang" userProvider="AD"/>
        <Anchor>
          <Comment id="{2A31322F-8FFA-4E93-BB2A-60A65951E15A}"/>
        </Anchor>
        <Create/>
      </Event>
      <Event time="2026-04-16T07:47:40.20" id="{6E7CCE29-0D53-4A51-8732-7C5C1C59D1F1}">
        <Attribution userId="S::jessy.tang@idp.com::f4126229-6dec-4e92-9fd8-651a674207a4" userName="Jessy Tang" userProvider="AD"/>
        <Anchor>
          <Comment id="{2A31322F-8FFA-4E93-BB2A-60A65951E15A}"/>
        </Anchor>
        <Assign userId="S::lewis.lee@idp.com::42b7d97c-3005-48d7-a96a-e11a413c44fc" userName="Lewis Lee" userProvider="AD"/>
      </Event>
      <Event time="2026-04-16T07:47:40.20" id="{D5D57BB0-1894-4633-8ACA-A4D62ADF32F0}">
        <Attribution userId="S::jessy.tang@idp.com::f4126229-6dec-4e92-9fd8-651a674207a4" userName="Jessy Tang" userProvider="AD"/>
        <Anchor>
          <Comment id="{2A31322F-8FFA-4E93-BB2A-60A65951E15A}"/>
        </Anchor>
        <SetTitle title="@Lewis - based on your comment, ok to remove this line since it is budgeted in staff?"/>
      </Event>
    </History>
  </Task>
  <Task id="{979EC569-EE44-4959-AADC-2DDDF0502C53}">
    <Anchor>
      <Comment id="{C65F08AD-339B-4C9F-9601-94BFB48AF97E}"/>
    </Anchor>
    <History>
      <Event time="2026-03-28T08:21:04.20" id="{3F3BC72B-1F50-4991-9C18-54B54BAD1736}">
        <Attribution userId="S::jessy.tang@idp.com::f4126229-6dec-4e92-9fd8-651a674207a4" userName="Jessy Tang" userProvider="AD"/>
        <Anchor>
          <Comment id="{C65F08AD-339B-4C9F-9601-94BFB48AF97E}"/>
        </Anchor>
        <Create/>
      </Event>
      <Event time="2026-03-28T08:21:04.20" id="{27B96E65-5B37-4349-AD9B-AE25C7B9E1A6}">
        <Attribution userId="S::jessy.tang@idp.com::f4126229-6dec-4e92-9fd8-651a674207a4" userName="Jessy Tang" userProvider="AD"/>
        <Anchor>
          <Comment id="{C65F08AD-339B-4C9F-9601-94BFB48AF97E}"/>
        </Anchor>
        <Assign userId="S::jayakumar.vr@idp.com::97d202f1-929f-4fdf-9a61-708acfaa1077" userName="Jayakumar V R" userProvider="AD"/>
      </Event>
      <Event time="2026-03-28T08:21:04.20" id="{847736C7-25A9-4E9B-8F42-6E61718ADC77}">
        <Attribution userId="S::jessy.tang@idp.com::f4126229-6dec-4e92-9fd8-651a674207a4" userName="Jessy Tang" userProvider="AD"/>
        <Anchor>
          <Comment id="{C65F08AD-339B-4C9F-9601-94BFB48AF97E}"/>
        </Anchor>
        <SetTitle title="@Jayakumar V R - please provide FY27Budget. This is charged via @Gavin Harris ‘s credit card"/>
      </Event>
    </History>
  </Task>
  <Task id="{499C2A76-2039-40F0-9F88-C161A64D654E}">
    <Anchor>
      <Comment id="{AA36816A-642F-4EF1-96DE-9A0E5DB39BA3}"/>
    </Anchor>
    <History>
      <Event time="2026-03-30T03:30:41.07" id="{8748D6CA-1D77-4C07-ACB2-F7F8167E64CF}">
        <Attribution userId="S::christine.bemelmans@idp.com::d9c37951-9c0b-4324-a81e-0afaee955f0a" userName="Christine Bemelmans" userProvider="AD"/>
        <Anchor>
          <Comment id="{AA36816A-642F-4EF1-96DE-9A0E5DB39BA3}"/>
        </Anchor>
        <Create/>
      </Event>
      <Event time="2026-03-30T03:30:41.07" id="{299445DC-728F-4831-9FED-17B247AE856E}">
        <Attribution userId="S::christine.bemelmans@idp.com::d9c37951-9c0b-4324-a81e-0afaee955f0a" userName="Christine Bemelmans" userProvider="AD"/>
        <Anchor>
          <Comment id="{AA36816A-642F-4EF1-96DE-9A0E5DB39BA3}"/>
        </Anchor>
        <Assign userId="S::jessy.tang@idp.com::f4126229-6dec-4e92-9fd8-651a674207a4" userName="Jessy Tang" userProvider="AD"/>
      </Event>
      <Event time="2026-03-30T03:30:41.07" id="{8987EC06-C9C3-4B28-8BCB-36435D106EBC}">
        <Attribution userId="S::christine.bemelmans@idp.com::d9c37951-9c0b-4324-a81e-0afaee955f0a" userName="Christine Bemelmans" userProvider="AD"/>
        <Anchor>
          <Comment id="{AA36816A-642F-4EF1-96DE-9A0E5DB39BA3}"/>
        </Anchor>
        <SetTitle title="@Jessy Tang I have been advised Lewis DW is taking this over"/>
      </Event>
      <Event time="2026-03-30T03:39:44.40" id="{5D820AC8-743C-4BE3-A0AD-C766BC1EE10F}">
        <Attribution userId="S::jessy.tang@idp.com::f4126229-6dec-4e92-9fd8-651a674207a4" userName="Jessy Tang" userProvider="AD"/>
        <Anchor>
          <Comment id="{A8F7C7F8-8AAA-4A80-A6F1-CE4E042C8FFE}"/>
        </Anchor>
        <UnassignAll/>
      </Event>
      <Event time="2026-03-30T03:39:44.40" id="{8E6388AA-9992-4238-B471-5647A6F16ACF}">
        <Attribution userId="S::jessy.tang@idp.com::f4126229-6dec-4e92-9fd8-651a674207a4" userName="Jessy Tang" userProvider="AD"/>
        <Anchor>
          <Comment id="{A8F7C7F8-8AAA-4A80-A6F1-CE4E042C8FFE}"/>
        </Anchor>
        <Assign userId="S::lewis.lee@idp.com::42b7d97c-3005-48d7-a96a-e11a413c44fc" userName="Lewis Lee" userProvider="AD"/>
      </Event>
      <Event time="2026-03-30T04:42:59.70" id="{7BC02886-8E45-44DD-BB9A-2D0C8C5DF5DF}">
        <Attribution userId="S::lewis.lee@idp.com::42b7d97c-3005-48d7-a96a-e11a413c44fc" userName="Lewis Lee" userProvider="AD"/>
        <Progress percentComplete="100"/>
      </Event>
    </History>
  </Task>
  <Task id="{0619CE77-80DE-48F2-A818-DD6E806C8CB5}">
    <Anchor>
      <Comment id="{86DBF7AD-AA00-4691-AE96-2AF4C70D75E5}"/>
    </Anchor>
    <History>
      <Event time="2026-05-05T01:31:42.11" id="{638A3AE0-4857-4004-A4AA-32F209B58E1A}">
        <Attribution userId="S::jessy.tang@idp.com::f4126229-6dec-4e92-9fd8-651a674207a4" userName="Jessy Tang" userProvider="AD"/>
        <Anchor>
          <Comment id="{86DBF7AD-AA00-4691-AE96-2AF4C70D75E5}"/>
        </Anchor>
        <Create/>
      </Event>
      <Event time="2026-05-05T01:31:42.11" id="{4406BACC-93D1-4389-9047-ED19CBE31125}">
        <Attribution userId="S::jessy.tang@idp.com::f4126229-6dec-4e92-9fd8-651a674207a4" userName="Jessy Tang" userProvider="AD"/>
        <Anchor>
          <Comment id="{86DBF7AD-AA00-4691-AE96-2AF4C70D75E5}"/>
        </Anchor>
        <Assign userId="S::gavin.harris@idp.com::11c08bef-e103-4bf5-a483-b17d80f27abc" userName="Gavin Harris" userProvider="AD"/>
      </Event>
      <Event time="2026-05-05T01:31:42.11" id="{2A809EF3-FEFA-478E-AA13-91F4070215FD}">
        <Attribution userId="S::jessy.tang@idp.com::f4126229-6dec-4e92-9fd8-651a674207a4" userName="Jessy Tang" userProvider="AD"/>
        <Anchor>
          <Comment id="{86DBF7AD-AA00-4691-AE96-2AF4C70D75E5}"/>
        </Anchor>
        <SetTitle title="@Gavin - to check with Vijay"/>
      </Event>
    </History>
  </Task>
  <Task id="{992E0FA2-195C-4A30-A445-3E056EE452E8}">
    <Anchor>
      <Comment id="{32295F3D-3C0A-4A0A-A4B4-5E598C7FD1D3}"/>
    </Anchor>
    <History>
      <Event time="2026-03-30T03:30:41.07" id="{8748D6CA-1D77-4C07-ACB2-F7F8167E64CF}">
        <Attribution userId="S::christine.bemelmans@idp.com::d9c37951-9c0b-4324-a81e-0afaee955f0a" userName="Christine Bemelmans" userProvider="AD"/>
        <Anchor>
          <Comment id="{32295F3D-3C0A-4A0A-A4B4-5E598C7FD1D3}"/>
        </Anchor>
        <Create/>
      </Event>
      <Event time="2026-03-30T03:30:41.07" id="{299445DC-728F-4831-9FED-17B247AE856E}">
        <Attribution userId="S::christine.bemelmans@idp.com::d9c37951-9c0b-4324-a81e-0afaee955f0a" userName="Christine Bemelmans" userProvider="AD"/>
        <Anchor>
          <Comment id="{32295F3D-3C0A-4A0A-A4B4-5E598C7FD1D3}"/>
        </Anchor>
        <Assign userId="S::jessy.tang@idp.com::f4126229-6dec-4e92-9fd8-651a674207a4" userName="Jessy Tang" userProvider="AD"/>
      </Event>
      <Event time="2026-03-30T03:30:41.07" id="{8987EC06-C9C3-4B28-8BCB-36435D106EBC}">
        <Attribution userId="S::christine.bemelmans@idp.com::d9c37951-9c0b-4324-a81e-0afaee955f0a" userName="Christine Bemelmans" userProvider="AD"/>
        <Anchor>
          <Comment id="{32295F3D-3C0A-4A0A-A4B4-5E598C7FD1D3}"/>
        </Anchor>
        <SetTitle title="@Jessy Tang I have been advised Lewis DW is taking this over"/>
      </Event>
      <Event time="2026-03-30T03:39:44.40" id="{5D820AC8-743C-4BE3-A0AD-C766BC1EE10F}">
        <Attribution userId="S::jessy.tang@idp.com::f4126229-6dec-4e92-9fd8-651a674207a4" userName="Jessy Tang" userProvider="AD"/>
        <Anchor>
          <Comment id="{2EF3BBE2-CA13-4505-B29F-64A66F94DFA1}"/>
        </Anchor>
        <UnassignAll/>
      </Event>
      <Event time="2026-03-30T03:39:44.40" id="{8E6388AA-9992-4238-B471-5647A6F16ACF}">
        <Attribution userId="S::jessy.tang@idp.com::f4126229-6dec-4e92-9fd8-651a674207a4" userName="Jessy Tang" userProvider="AD"/>
        <Anchor>
          <Comment id="{2EF3BBE2-CA13-4505-B29F-64A66F94DFA1}"/>
        </Anchor>
        <Assign userId="S::lewis.lee@idp.com::42b7d97c-3005-48d7-a96a-e11a413c44fc" userName="Lewis Lee" userProvider="AD"/>
      </Event>
      <Event time="2026-03-30T04:42:59.70" id="{7BC02886-8E45-44DD-BB9A-2D0C8C5DF5DF}">
        <Attribution userId="S::lewis.lee@idp.com::42b7d97c-3005-48d7-a96a-e11a413c44fc" userName="Lewis Lee" userProvider="AD"/>
        <Progress percentComplete="100"/>
      </Event>
    </History>
  </Task>
  <Task id="{EC143CA2-3982-4DDE-8563-8487E0D9BD6B}">
    <Anchor>
      <Comment id="{133C2009-D7EE-4CB5-94B2-ECFC9C58C6D6}"/>
    </Anchor>
    <History>
      <Event time="2026-03-30T03:30:19.70" id="{E01110FD-16F2-40DF-B327-A48D1728CF10}">
        <Attribution userId="S::christine.bemelmans@idp.com::d9c37951-9c0b-4324-a81e-0afaee955f0a" userName="Christine Bemelmans" userProvider="AD"/>
        <Anchor>
          <Comment id="{133C2009-D7EE-4CB5-94B2-ECFC9C58C6D6}"/>
        </Anchor>
        <Create/>
      </Event>
      <Event time="2026-03-30T03:30:19.70" id="{D415E052-00EB-472D-B0B0-C631B8E11DE4}">
        <Attribution userId="S::christine.bemelmans@idp.com::d9c37951-9c0b-4324-a81e-0afaee955f0a" userName="Christine Bemelmans" userProvider="AD"/>
        <Anchor>
          <Comment id="{133C2009-D7EE-4CB5-94B2-ECFC9C58C6D6}"/>
        </Anchor>
        <Assign userId="S::jessy.tang@idp.com::f4126229-6dec-4e92-9fd8-651a674207a4" userName="Jessy Tang" userProvider="AD"/>
      </Event>
      <Event time="2026-03-30T03:30:19.70" id="{4787745F-A5D4-4B29-A677-89B51B2F7F5B}">
        <Attribution userId="S::christine.bemelmans@idp.com::d9c37951-9c0b-4324-a81e-0afaee955f0a" userName="Christine Bemelmans" userProvider="AD"/>
        <Anchor>
          <Comment id="{133C2009-D7EE-4CB5-94B2-ECFC9C58C6D6}"/>
        </Anchor>
        <SetTitle title="@Jessy Tang I have been advised Lewis under DW is taking this over"/>
      </Event>
      <Event time="2026-03-30T03:39:34.88" id="{BF336112-0046-4542-98CA-E5EA1C6074EE}">
        <Attribution userId="S::jessy.tang@idp.com::f4126229-6dec-4e92-9fd8-651a674207a4" userName="Jessy Tang" userProvider="AD"/>
        <Anchor>
          <Comment id="{2232F05C-4683-41DE-B6E0-BEDFDE51599D}"/>
        </Anchor>
        <UnassignAll/>
      </Event>
      <Event time="2026-03-30T03:39:34.88" id="{37004B06-95FC-43BC-9622-C30D249E8AFD}">
        <Attribution userId="S::jessy.tang@idp.com::f4126229-6dec-4e92-9fd8-651a674207a4" userName="Jessy Tang" userProvider="AD"/>
        <Anchor>
          <Comment id="{2232F05C-4683-41DE-B6E0-BEDFDE51599D}"/>
        </Anchor>
        <Assign userId="S::lewis.lee@idp.com::42b7d97c-3005-48d7-a96a-e11a413c44fc" userName="Lewis Lee" userProvider="AD"/>
      </Event>
      <Event time="2026-03-30T04:42:56.60" id="{5A608764-AF0F-4615-B959-8B6D0F0AD5C4}">
        <Attribution userId="S::lewis.lee@idp.com::42b7d97c-3005-48d7-a96a-e11a413c44fc" userName="Lewis Lee" userProvider="AD"/>
        <Progress percentComplete="100"/>
      </Event>
    </History>
  </Task>
  <Task id="{3338BAAC-CF12-4CC5-8A95-1218642B28BE}">
    <Anchor>
      <Comment id="{B3080B92-14C0-4887-AD16-620EBC32A9EC}"/>
    </Anchor>
    <History>
      <Event time="2026-03-30T03:33:39.63" id="{AEBB6F00-0518-43BB-8BCE-27FE05137B59}">
        <Attribution userId="S::christine.bemelmans@idp.com::d9c37951-9c0b-4324-a81e-0afaee955f0a" userName="Christine Bemelmans" userProvider="AD"/>
        <Anchor>
          <Comment id="{B3080B92-14C0-4887-AD16-620EBC32A9EC}"/>
        </Anchor>
        <Create/>
      </Event>
      <Event time="2026-03-30T03:33:39.63" id="{73EEBE04-EDFE-4A06-9CEC-57AD859E4816}">
        <Attribution userId="S::christine.bemelmans@idp.com::d9c37951-9c0b-4324-a81e-0afaee955f0a" userName="Christine Bemelmans" userProvider="AD"/>
        <Anchor>
          <Comment id="{B3080B92-14C0-4887-AD16-620EBC32A9EC}"/>
        </Anchor>
        <Assign userId="S::jessy.tang@idp.com::f4126229-6dec-4e92-9fd8-651a674207a4" userName="Jessy Tang" userProvider="AD"/>
      </Event>
      <Event time="2026-03-30T03:33:39.63" id="{04B5529A-3411-4D76-9DAA-7B1894D38D5B}">
        <Attribution userId="S::christine.bemelmans@idp.com::d9c37951-9c0b-4324-a81e-0afaee955f0a" userName="Christine Bemelmans" userProvider="AD"/>
        <Anchor>
          <Comment id="{B3080B92-14C0-4887-AD16-620EBC32A9EC}"/>
        </Anchor>
        <SetTitle title="@Jessy Tang This now belongs to Lewis DW"/>
      </Event>
      <Event time="2026-03-30T03:52:49.47" id="{C7637FCD-609C-4D2A-A97F-B67CD1D61EF9}">
        <Attribution userId="S::lewis.lee@idp.com::42b7d97c-3005-48d7-a96a-e11a413c44fc" userName="Lewis Lee" userProvider="AD"/>
        <Progress percentComplete="100"/>
      </Event>
    </History>
  </Task>
  <Task id="{1E482FF1-1681-46EE-AC96-A1F2FC0A91DB}">
    <Anchor>
      <Comment id="{AA466012-E548-412B-A281-01D37EABFAD5}"/>
    </Anchor>
    <History>
      <Event time="2026-03-30T03:30:19.70" id="{E01110FD-16F2-40DF-B327-A48D1728CF10}">
        <Attribution userId="S::christine.bemelmans@idp.com::d9c37951-9c0b-4324-a81e-0afaee955f0a" userName="Christine Bemelmans" userProvider="AD"/>
        <Anchor>
          <Comment id="{AA466012-E548-412B-A281-01D37EABFAD5}"/>
        </Anchor>
        <Create/>
      </Event>
      <Event time="2026-03-30T03:30:19.70" id="{D415E052-00EB-472D-B0B0-C631B8E11DE4}">
        <Attribution userId="S::christine.bemelmans@idp.com::d9c37951-9c0b-4324-a81e-0afaee955f0a" userName="Christine Bemelmans" userProvider="AD"/>
        <Anchor>
          <Comment id="{AA466012-E548-412B-A281-01D37EABFAD5}"/>
        </Anchor>
        <Assign userId="S::jessy.tang@idp.com::f4126229-6dec-4e92-9fd8-651a674207a4" userName="Jessy Tang" userProvider="AD"/>
      </Event>
      <Event time="2026-03-30T03:30:19.70" id="{4787745F-A5D4-4B29-A677-89B51B2F7F5B}">
        <Attribution userId="S::christine.bemelmans@idp.com::d9c37951-9c0b-4324-a81e-0afaee955f0a" userName="Christine Bemelmans" userProvider="AD"/>
        <Anchor>
          <Comment id="{AA466012-E548-412B-A281-01D37EABFAD5}"/>
        </Anchor>
        <SetTitle title="@Jessy Tang I have been advised Lewis under DW is taking this over"/>
      </Event>
      <Event time="2026-03-30T03:39:34.88" id="{BF336112-0046-4542-98CA-E5EA1C6074EE}">
        <Attribution userId="S::jessy.tang@idp.com::f4126229-6dec-4e92-9fd8-651a674207a4" userName="Jessy Tang" userProvider="AD"/>
        <Anchor>
          <Comment id="{1C0924FF-F31A-41EE-A24C-A2F67DDD2A44}"/>
        </Anchor>
        <UnassignAll/>
      </Event>
      <Event time="2026-03-30T03:39:34.88" id="{37004B06-95FC-43BC-9622-C30D249E8AFD}">
        <Attribution userId="S::jessy.tang@idp.com::f4126229-6dec-4e92-9fd8-651a674207a4" userName="Jessy Tang" userProvider="AD"/>
        <Anchor>
          <Comment id="{1C0924FF-F31A-41EE-A24C-A2F67DDD2A44}"/>
        </Anchor>
        <Assign userId="S::lewis.lee@idp.com::42b7d97c-3005-48d7-a96a-e11a413c44fc" userName="Lewis Lee" userProvider="AD"/>
      </Event>
      <Event time="2026-03-30T04:42:56.60" id="{5A608764-AF0F-4615-B959-8B6D0F0AD5C4}">
        <Attribution userId="S::lewis.lee@idp.com::42b7d97c-3005-48d7-a96a-e11a413c44fc" userName="Lewis Lee" userProvider="AD"/>
        <Progress percentComplete="100"/>
      </Event>
    </History>
  </Task>
</Task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anthosh" id="{DEBA060F-8EC7-4AED-A508-215FB45B2D4D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Lewis Lee" id="{46A51F10-26D4-4F55-8AA9-4C7EA164CE9E}" userId="lewis.lee@idp.com" providerId="PeoplePicker"/>
  <person displayName="Jessy Tang" id="{DC924E61-5CF1-4669-B22C-C435595CE695}" userId="jessy.tang@idp.com" providerId="PeoplePicker"/>
  <person displayName="Sheree" id="{94353352-618D-4F7C-A977-CC8E559E747B}" userId="sheree.lau@idp.com" providerId="PeoplePicker"/>
  <person displayName="Gavin Harris" id="{1F403135-34B3-46C3-B923-7EE86AD1234B}" userId="gavin.harris@idp.com" providerId="PeoplePicker"/>
  <person displayName="Jayakumar V R" id="{624B26EC-F892-4873-8374-32EF47CCE28B}" userId="jayakumar.vr@idp.com" providerId="PeoplePicker"/>
  <person displayName="Stuart Nickols" id="{BC8E20E3-6F58-4F9E-AA81-6E83AF67503C}" userId="stuart.nickols@idp.com" providerId="PeoplePicker"/>
  <person displayName="Lewis Lee" id="{B3C2D049-5B33-49D8-B116-5513D8479DB4}" userId="S::lewis.lee@idp.com::42b7d97c-3005-48d7-a96a-e11a413c44fc" providerId="AD"/>
  <person displayName="Jessy Tang" id="{32912FD0-C609-41AD-8AFC-4452A6EE6DC6}" userId="S::jessy.tang@idp.com::f4126229-6dec-4e92-9fd8-651a674207a4" providerId="AD"/>
  <person displayName="Li-Xuan Yao" id="{9ED038C5-C16B-4B9D-AD72-6F6E7ABF75BE}" userId="S::lixuan.yao@idp.com::dce18f99-4562-44cd-a0cc-d11df8d62b5f" providerId="AD"/>
  <person displayName="Shankar KS" id="{209EAD37-BD03-400F-9183-60573A72BB79}" userId="S::shankar.ks@idp.com::0cb0901a-8c80-4000-8812-bdc87440ee20" providerId="AD"/>
  <person displayName="Gavin Harris" id="{469B5BD0-3365-47F7-BCB8-3A26792D205A}" userId="S::gavin.harris@idp.com::11c08bef-e103-4bf5-a483-b17d80f27abc" providerId="AD"/>
  <person displayName="Andrew Sanders" id="{694078A4-4145-4936-93F4-ABB65E15890A}" userId="S::andrew.sanders@idp.com::76f1b7b4-8378-483a-b235-af05b642ad5b" providerId="AD"/>
  <person displayName="Christine Bemelmans" id="{75888A7C-D82D-4942-94F3-98808558B37B}" userId="S::christine.bemelmans@idp.com::d9c37951-9c0b-4324-a81e-0afaee955f0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2" dT="2026-07-10T07:00:18.99" personId="{469B5BD0-3365-47F7-BCB8-3A26792D205A}" id="{6F04AD1D-EDE6-4924-97D0-0E114741C249}">
    <text xml:space="preserve">@Lewis Lee </text>
    <mentions>
      <mention mentionpersonId="{46A51F10-26D4-4F55-8AA9-4C7EA164CE9E}" mentionId="{8A87BD54-FCAB-4CF6-B306-69BDBCAA2DE4}" startIndex="0" length="10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4" dT="2026-03-27T08:22:50.64" personId="{9ED038C5-C16B-4B9D-AD72-6F6E7ABF75BE}" id="{17DFD948-AF0E-4305-9A24-D02158D807CE}">
    <text>@Stuart Nickols FYI I'm adding the estimated run cost items from business cases here</text>
    <mentions>
      <mention mentionpersonId="{BC8E20E3-6F58-4F9E-AA81-6E83AF67503C}" mentionId="{F6D8066D-2FB6-44A5-A040-3EB97FA78834}" startIndex="0" length="15"/>
    </mentions>
  </threadedComment>
  <threadedComment ref="B25" dT="2026-03-27T08:22:50.64" personId="{9ED038C5-C16B-4B9D-AD72-6F6E7ABF75BE}" id="{AAE9053F-9649-463F-8A48-B7132C1AC14D}">
    <text>@Stuart Nickols FYI I'm adding the estimated run cost items from business cases here</text>
    <mentions>
      <mention mentionpersonId="{BC8E20E3-6F58-4F9E-AA81-6E83AF67503C}" mentionId="{C5355201-E169-4EEB-A26B-E307BEEF245F}" startIndex="0" length="15"/>
    </mentions>
  </threadedComment>
  <threadedComment ref="D52" dT="2026-05-05T01:31:42.11" personId="{32912FD0-C609-41AD-8AFC-4452A6EE6DC6}" id="{86DBF7AD-AA00-4691-AE96-2AF4C70D75E5}">
    <text>@Gavin - to check with Vijay</text>
    <mentions>
      <mention mentionpersonId="{1F403135-34B3-46C3-B923-7EE86AD1234B}" mentionId="{545A6F76-9ECC-4864-99C1-79F26271939D}" startIndex="0" length="6"/>
    </mentions>
  </threadedComment>
  <threadedComment ref="O52" dT="2026-07-07T04:37:26.61" personId="{469B5BD0-3365-47F7-BCB8-3A26792D205A}" id="{292BF1EE-1AAD-40D6-BEB0-1E53CF58B2E9}">
    <text>Contract terminated due to China SP exit. Early termination fees booked to Transformation.</text>
  </threadedComment>
  <threadedComment ref="L72" dT="2026-04-16T07:47:40.20" personId="{32912FD0-C609-41AD-8AFC-4452A6EE6DC6}" id="{2A31322F-8FFA-4E93-BB2A-60A65951E15A}">
    <text>@Lewis - based on your comment, ok to remove this line since it is budgeted in staff?</text>
    <mentions>
      <mention mentionpersonId="{46A51F10-26D4-4F55-8AA9-4C7EA164CE9E}" mentionId="{1749949C-F27F-48E7-9EBE-C5C6F2F2BFA5}" startIndex="0" length="6"/>
    </mentions>
  </threadedComment>
  <threadedComment ref="B96" dT="2026-03-28T08:21:04.21" personId="{32912FD0-C609-41AD-8AFC-4452A6EE6DC6}" id="{C65F08AD-339B-4C9F-9601-94BFB48AF97E}">
    <text>@Jayakumar V R - please provide FY27Budget.  This is charged via @Gavin Harris ‘s credit card</text>
    <mentions>
      <mention mentionpersonId="{624B26EC-F892-4873-8374-32EF47CCE28B}" mentionId="{63C427B0-DD74-489F-B0F4-D8775481C407}" startIndex="0" length="14"/>
      <mention mentionpersonId="{1F403135-34B3-46C3-B923-7EE86AD1234B}" mentionId="{447D4AF1-BC2E-4877-8572-4F900757041F}" startIndex="65" length="13"/>
    </mentions>
  </threadedComment>
  <threadedComment ref="E118" dT="2026-03-30T03:30:42.27" personId="{75888A7C-D82D-4942-94F3-98808558B37B}" id="{32295F3D-3C0A-4A0A-A4B4-5E598C7FD1D3}" done="1">
    <text>@Jessy Tang I have been advised Lewis DW is taking this over</text>
    <mentions>
      <mention mentionpersonId="{DC924E61-5CF1-4669-B22C-C435595CE695}" mentionId="{6A43BAB5-EF2A-4001-8650-50C94820F0B8}" startIndex="0" length="11"/>
    </mentions>
  </threadedComment>
  <threadedComment ref="E118" dT="2026-03-30T03:39:44.40" personId="{32912FD0-C609-41AD-8AFC-4452A6EE6DC6}" id="{2EF3BBE2-CA13-4505-B29F-64A66F94DFA1}" parentId="{32295F3D-3C0A-4A0A-A4B4-5E598C7FD1D3}">
    <text>@Lewis Lee  are u ok that I move this to 517?</text>
    <mentions>
      <mention mentionpersonId="{46A51F10-26D4-4F55-8AA9-4C7EA164CE9E}" mentionId="{62A7B05A-3A9A-4029-803A-4E1203372FD5}" startIndex="0" length="10"/>
    </mentions>
  </threadedComment>
  <threadedComment ref="E118" dT="2026-03-30T03:54:28.69" personId="{B3C2D049-5B33-49D8-B116-5513D8479DB4}" id="{B57480C2-B582-49C5-97D0-30E1FBC1F869}" parentId="{32295F3D-3C0A-4A0A-A4B4-5E598C7FD1D3}">
    <text>I’ve not been advised yet. Have pinged Samba about this one. Only agreed on UPS.</text>
  </threadedComment>
  <threadedComment ref="E118" dT="2026-03-30T04:41:50.89" personId="{B3C2D049-5B33-49D8-B116-5513D8479DB4}" id="{F69C430B-4F60-4721-A612-66E1FCC5DB8A}" parentId="{32295F3D-3C0A-4A0A-A4B4-5E598C7FD1D3}">
    <text>Chatted to Samba, good to pick up</text>
  </threadedComment>
  <threadedComment ref="E119" dT="2026-03-30T03:30:42.27" personId="{75888A7C-D82D-4942-94F3-98808558B37B}" id="{AA36816A-642F-4EF1-96DE-9A0E5DB39BA3}" done="1">
    <text>@Jessy Tang I have been advised Lewis DW is taking this over</text>
    <mentions>
      <mention mentionpersonId="{DC924E61-5CF1-4669-B22C-C435595CE695}" mentionId="{F86DB69E-FB71-4451-A00A-84E7FB66148B}" startIndex="0" length="11"/>
    </mentions>
  </threadedComment>
  <threadedComment ref="E119" dT="2026-03-30T03:39:44.40" personId="{32912FD0-C609-41AD-8AFC-4452A6EE6DC6}" id="{A8F7C7F8-8AAA-4A80-A6F1-CE4E042C8FFE}" parentId="{AA36816A-642F-4EF1-96DE-9A0E5DB39BA3}">
    <text>@Lewis Lee  are u ok that I move this to 517?</text>
    <mentions>
      <mention mentionpersonId="{46A51F10-26D4-4F55-8AA9-4C7EA164CE9E}" mentionId="{18DC2621-216D-4E46-A5AF-232272F509E9}" startIndex="0" length="10"/>
    </mentions>
  </threadedComment>
  <threadedComment ref="E119" dT="2026-03-30T03:54:28.69" personId="{B3C2D049-5B33-49D8-B116-5513D8479DB4}" id="{A7905C95-5DE6-4F01-8183-EEA99739C281}" parentId="{AA36816A-642F-4EF1-96DE-9A0E5DB39BA3}">
    <text>I’ve not been advised yet. Have pinged Samba about this one. Only agreed on UPS.</text>
  </threadedComment>
  <threadedComment ref="E119" dT="2026-03-30T04:41:50.89" personId="{B3C2D049-5B33-49D8-B116-5513D8479DB4}" id="{6002A660-67CC-465C-A54C-E62F7EB77FE0}" parentId="{AA36816A-642F-4EF1-96DE-9A0E5DB39BA3}">
    <text>Chatted to Samba, good to pick up</text>
  </threadedComment>
  <threadedComment ref="C122" dT="2026-03-24T03:25:49.99" personId="{32912FD0-C609-41AD-8AFC-4452A6EE6DC6}" id="{9B575C10-C610-46DA-B779-BBF16E4F8D31}">
    <text>@Sheree - to confirm with finance on % split</text>
    <mentions>
      <mention mentionpersonId="{94353352-618D-4F7C-A977-CC8E559E747B}" mentionId="{10C74B29-6691-4AD7-8B81-CDBB6416C4B5}" startIndex="0" length="7"/>
    </mentions>
  </threadedComment>
  <threadedComment ref="E123" dT="2026-03-30T03:30:20.91" personId="{75888A7C-D82D-4942-94F3-98808558B37B}" id="{133C2009-D7EE-4CB5-94B2-ECFC9C58C6D6}" done="1">
    <text>@Jessy Tang I have been advised Lewis under DW is taking this over</text>
    <mentions>
      <mention mentionpersonId="{DC924E61-5CF1-4669-B22C-C435595CE695}" mentionId="{F90B4D6F-F339-45EE-BE64-92919DCAFAC3}" startIndex="0" length="11"/>
    </mentions>
  </threadedComment>
  <threadedComment ref="E123" dT="2026-03-30T03:39:34.90" personId="{32912FD0-C609-41AD-8AFC-4452A6EE6DC6}" id="{2232F05C-4683-41DE-B6E0-BEDFDE51599D}" parentId="{133C2009-D7EE-4CB5-94B2-ECFC9C58C6D6}">
    <text>@Lewis Lee are u ok that I move this to 517?</text>
    <mentions>
      <mention mentionpersonId="{46A51F10-26D4-4F55-8AA9-4C7EA164CE9E}" mentionId="{DF179BED-A056-4C96-B7CE-9B7C12B780E4}" startIndex="0" length="10"/>
    </mentions>
  </threadedComment>
  <threadedComment ref="E124" dT="2026-03-30T03:30:20.91" personId="{75888A7C-D82D-4942-94F3-98808558B37B}" id="{AA466012-E548-412B-A281-01D37EABFAD5}" done="1">
    <text>@Jessy Tang I have been advised Lewis under DW is taking this over</text>
    <mentions>
      <mention mentionpersonId="{DC924E61-5CF1-4669-B22C-C435595CE695}" mentionId="{3E5FF57F-D642-4DCE-A807-2BBF559D6D0B}" startIndex="0" length="11"/>
    </mentions>
  </threadedComment>
  <threadedComment ref="E124" dT="2026-03-30T03:39:34.90" personId="{32912FD0-C609-41AD-8AFC-4452A6EE6DC6}" id="{1C0924FF-F31A-41EE-A24C-A2F67DDD2A44}" parentId="{AA466012-E548-412B-A281-01D37EABFAD5}">
    <text>@Lewis Lee are u ok that I move this to 517?</text>
    <mentions>
      <mention mentionpersonId="{46A51F10-26D4-4F55-8AA9-4C7EA164CE9E}" mentionId="{67DF60E4-34E9-4DBB-A544-008610C12EED}" startIndex="0" length="10"/>
    </mentions>
  </threadedComment>
  <threadedComment ref="E125" dT="2026-03-30T03:33:40.85" personId="{75888A7C-D82D-4942-94F3-98808558B37B}" id="{B3080B92-14C0-4887-AD16-620EBC32A9EC}" done="1">
    <text>@Jessy Tang This now belongs to Lewis DW</text>
    <mentions>
      <mention mentionpersonId="{DC924E61-5CF1-4669-B22C-C435595CE695}" mentionId="{0A23ACFC-EC8C-4C0F-A747-D4E48AFC4E95}" startIndex="0" length="11"/>
    </mentions>
  </threadedComment>
  <threadedComment ref="E125" dT="2026-03-30T03:39:55.54" personId="{32912FD0-C609-41AD-8AFC-4452A6EE6DC6}" id="{3E507EB9-E0E4-489A-BDE5-9D735D50CC4A}" parentId="{B3080B92-14C0-4887-AD16-620EBC32A9EC}">
    <text>@Lewis Lee  are u ok that I move this to 517?</text>
    <mentions>
      <mention mentionpersonId="{46A51F10-26D4-4F55-8AA9-4C7EA164CE9E}" mentionId="{C7118896-128B-4945-9A07-B689E0C3AA37}" startIndex="0" length="10"/>
    </mentions>
  </threadedComment>
  <threadedComment ref="E125" dT="2026-03-30T03:50:43.03" personId="{B3C2D049-5B33-49D8-B116-5513D8479DB4}" id="{BBA6B0ED-5684-49BB-BE8E-BFC2F1832E85}" parentId="{B3080B92-14C0-4887-AD16-620EBC32A9EC}">
    <text>I’m good with that. Samba just pinged me today. Doesn’t really matter where it sits to me as long as we capture the cost/budget.</text>
  </threadedComment>
  <threadedComment ref="C132" dT="2026-03-24T03:28:10.18" personId="{32912FD0-C609-41AD-8AFC-4452A6EE6DC6}" id="{FDB13232-90C4-40EB-A755-15627147DA31}">
    <text>@Sheree - to check with finance on % split</text>
    <mentions>
      <mention mentionpersonId="{94353352-618D-4F7C-A977-CC8E559E747B}" mentionId="{D790487D-0C28-4374-A4BC-63F20317D7C8}" startIndex="0" length="7"/>
    </mentions>
  </threadedComment>
  <threadedComment ref="C142" dT="2026-03-19T13:43:00.10" personId="{694078A4-4145-4936-93F4-ABB65E15890A}" id="{14CE6E5D-B08C-473C-8992-EDF5548B64AA}" done="1">
    <text>Should this be Lucid with the e?</text>
  </threadedComment>
  <threadedComment ref="B177" dT="2026-03-27T08:22:50.64" personId="{9ED038C5-C16B-4B9D-AD72-6F6E7ABF75BE}" id="{6731C50F-DB79-4016-ACC9-21B594F57683}">
    <text>@Stuart Nickols FYI I'm adding the estimated run cost items from business cases here</text>
    <mentions>
      <mention mentionpersonId="{BC8E20E3-6F58-4F9E-AA81-6E83AF67503C}" mentionId="{D5CEC76C-3B0F-4BEC-BE4B-43E79EA87242}" startIndex="0" length="15"/>
    </mentions>
  </threadedComment>
  <threadedComment ref="O178" dT="2026-06-22T01:20:16.58" personId="{32912FD0-C609-41AD-8AFC-4452A6EE6DC6}" id="{D8137FCA-9C70-4A09-A4E1-86FEF5201BF4}">
    <text>Matt T’s email 19/06/26 - 40% BAU, 60% Transformation. 2 out of 5 modules implemented.</text>
  </threadedComment>
  <threadedComment ref="O178" dT="2026-07-07T11:47:29.62" personId="{32912FD0-C609-41AD-8AFC-4452A6EE6DC6}" id="{A4CDEA5D-4709-4664-AE3A-108ACC9C704A}" parentId="{D8137FCA-9C70-4A09-A4E1-86FEF5201BF4}">
    <text>Removed - Kate Koch</text>
  </threadedComment>
  <threadedComment ref="O181" dT="2026-06-22T04:44:57.09" personId="{32912FD0-C609-41AD-8AFC-4452A6EE6DC6}" id="{13361A89-33D9-48F4-9FF4-79C810E840C1}">
    <text>Jass’ email 25/05/26 - Oracle EBS fixed support not renewing, absorbed into Rimini’s EBS support.</text>
  </threadedComment>
  <threadedComment ref="E186" dT="2026-03-19T13:51:34.99" personId="{694078A4-4145-4936-93F4-ABB65E15890A}" id="{9624D7A7-5AFB-4CBA-9382-7DE62B9539A5}" done="1">
    <text>Asset register shows GK, Not Simon)</text>
  </threadedComment>
  <threadedComment ref="C195" dT="2026-03-24T03:41:19.86" personId="{32912FD0-C609-41AD-8AFC-4452A6EE6DC6}" id="{B2390365-0AB9-4998-9A2E-76A0013CD060}">
    <text>@Sheree - to check with finance on volume</text>
    <mentions>
      <mention mentionpersonId="{94353352-618D-4F7C-A977-CC8E559E747B}" mentionId="{99CB6F71-FF28-4172-986E-7FB6DFDF3E94}" startIndex="0" length="7"/>
    </mentions>
  </threadedComment>
  <threadedComment ref="O241" dT="2026-05-14T06:12:13.78" personId="{209EAD37-BD03-400F-9183-60573A72BB79}" id="{7F0D0DA6-E517-4504-9C5A-7B030F1B863E}">
    <text>In FY27 extended premium support is removed.</text>
  </threadedComment>
  <threadedComment ref="E247" dT="2026-03-19T14:07:00.76" personId="{694078A4-4145-4936-93F4-ABB65E15890A}" id="{D2CDC896-4019-47F0-B0AB-A9C4A98555EA}" done="1">
    <text>Lauren McGough bus owner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8" Type="http://schemas.microsoft.com/office/2019/04/relationships/documenttask" Target="../documenttasks/documenttask1.xml"/><Relationship Id="rId3" Type="http://schemas.openxmlformats.org/officeDocument/2006/relationships/hyperlink" Target="https://idpeducation.sharepoint.com/:w:/r/sites/enterprise.delivery/_layouts/15/Doc.aspx?sourcedoc=%7BA97A88A7-BAAA-4F65-9FB8-1E1746112493%7D&amp;file=C205%20business%20case%20V3.0.docx&amp;action=default&amp;mobileredirect=true" TargetMode="External"/><Relationship Id="rId7" Type="http://schemas.microsoft.com/office/2017/10/relationships/threadedComment" Target="../threadedComments/threadedComment2.xml"/><Relationship Id="rId2" Type="http://schemas.openxmlformats.org/officeDocument/2006/relationships/hyperlink" Target="https://idpeducation.sharepoint.com/:w:/r/sites/enterprise.delivery/_layouts/15/Doc.aspx?sourcedoc=%7BD6B66256-3C5E-4D00-8D7C-E3B69734AE8F%7D&amp;file=C213%20CAP%20Automation%20%20Business%20Case%20V6.0.docx&amp;action=default&amp;mobileredirect=true" TargetMode="External"/><Relationship Id="rId1" Type="http://schemas.openxmlformats.org/officeDocument/2006/relationships/hyperlink" Target="https://idpeducation.sharepoint.com/:w:/r/sites/enterprise.delivery/_layouts/15/Doc.aspx?sourcedoc=%7BA97A88A7-BAAA-4F65-9FB8-1E1746112493%7D&amp;file=C205%20business%20case%20V3.0.docx&amp;action=default&amp;mobileredirect=true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3.bin"/><Relationship Id="rId9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05AB-A149-4D6C-B1BC-DA8E21E7D1A5}">
  <sheetPr>
    <tabColor rgb="FFC00000"/>
  </sheetPr>
  <dimension ref="A1:M312"/>
  <sheetViews>
    <sheetView workbookViewId="0">
      <selection sqref="A1:XFD1048576"/>
    </sheetView>
    <sheetView workbookViewId="1">
      <selection sqref="A1:J1"/>
    </sheetView>
  </sheetViews>
  <sheetFormatPr defaultRowHeight="15" x14ac:dyDescent="0.25"/>
  <cols>
    <col min="1" max="1" width="26.7109375" style="11" customWidth="1"/>
    <col min="2" max="2" width="34.28515625" style="11" customWidth="1"/>
    <col min="3" max="5" width="15.28515625" customWidth="1"/>
    <col min="6" max="6" width="16.140625" customWidth="1"/>
    <col min="7" max="7" width="21" customWidth="1"/>
    <col min="8" max="8" width="13.85546875" style="3" bestFit="1" customWidth="1"/>
    <col min="9" max="9" width="46.140625" style="3" customWidth="1"/>
    <col min="10" max="10" width="13.28515625" style="3" customWidth="1"/>
    <col min="11" max="11" width="14.28515625" bestFit="1" customWidth="1"/>
    <col min="12" max="12" width="20.7109375" style="3" bestFit="1" customWidth="1"/>
    <col min="13" max="13" width="20.7109375" style="3" customWidth="1"/>
    <col min="14" max="14" width="21.140625" customWidth="1"/>
    <col min="15" max="15" width="22.5703125" bestFit="1" customWidth="1"/>
    <col min="16" max="18" width="21.5703125" customWidth="1"/>
    <col min="19" max="19" width="19.42578125" bestFit="1" customWidth="1"/>
    <col min="20" max="20" width="17.5703125" bestFit="1" customWidth="1"/>
  </cols>
  <sheetData>
    <row r="1" spans="1:13" ht="32.1" customHeight="1" x14ac:dyDescent="0.25">
      <c r="A1" s="141" t="s">
        <v>564</v>
      </c>
      <c r="B1" s="141"/>
      <c r="C1" s="141"/>
      <c r="D1" s="141"/>
      <c r="E1" s="141"/>
      <c r="F1" s="141"/>
      <c r="G1" s="141"/>
      <c r="H1" s="141"/>
      <c r="I1" s="141"/>
      <c r="J1" s="141"/>
      <c r="L1"/>
      <c r="M1"/>
    </row>
    <row r="2" spans="1:13" ht="20.100000000000001" customHeight="1" x14ac:dyDescent="0.25">
      <c r="A2" s="142" t="s">
        <v>565</v>
      </c>
      <c r="B2" s="142"/>
      <c r="C2" s="142"/>
      <c r="D2" s="142"/>
      <c r="E2" s="142"/>
      <c r="F2" s="142"/>
      <c r="G2" s="142"/>
      <c r="H2" s="142"/>
      <c r="I2" s="142"/>
      <c r="J2" s="142"/>
      <c r="L2"/>
      <c r="M2"/>
    </row>
    <row r="3" spans="1:13" ht="8.1" customHeight="1" x14ac:dyDescent="0.25">
      <c r="A3"/>
      <c r="B3"/>
      <c r="H3"/>
      <c r="I3"/>
      <c r="J3"/>
      <c r="L3"/>
      <c r="M3"/>
    </row>
    <row r="4" spans="1:13" x14ac:dyDescent="0.25">
      <c r="A4" s="143" t="s">
        <v>574</v>
      </c>
      <c r="B4" s="143"/>
      <c r="C4" s="7"/>
      <c r="D4" s="143" t="s">
        <v>575</v>
      </c>
      <c r="E4" s="143"/>
      <c r="F4" s="7"/>
      <c r="G4" s="143" t="s">
        <v>576</v>
      </c>
      <c r="H4" s="143"/>
      <c r="I4" s="143" t="s">
        <v>577</v>
      </c>
      <c r="J4" s="143"/>
      <c r="L4"/>
      <c r="M4"/>
    </row>
    <row r="5" spans="1:13" ht="48" customHeight="1" x14ac:dyDescent="0.25">
      <c r="A5" s="139">
        <f>B24</f>
        <v>23692506.45761466</v>
      </c>
      <c r="B5" s="139"/>
      <c r="C5" s="117"/>
      <c r="D5" s="139">
        <f>C24</f>
        <v>22962976.049178086</v>
      </c>
      <c r="E5" s="139"/>
      <c r="F5" s="117"/>
      <c r="G5" s="139">
        <f>D24</f>
        <v>728974.62761466089</v>
      </c>
      <c r="H5" s="139"/>
      <c r="I5" s="139">
        <f>E24</f>
        <v>320983.41441914049</v>
      </c>
      <c r="J5" s="139"/>
      <c r="L5"/>
      <c r="M5"/>
    </row>
    <row r="6" spans="1:13" ht="8.1" customHeight="1" x14ac:dyDescent="0.25">
      <c r="A6"/>
      <c r="B6"/>
      <c r="H6"/>
      <c r="I6"/>
      <c r="J6"/>
      <c r="L6"/>
      <c r="M6"/>
    </row>
    <row r="7" spans="1:13" x14ac:dyDescent="0.25">
      <c r="A7" s="140" t="str">
        <f>"The tracked V1 budget is "&amp;TEXT(A5,"$#,##0")&amp;" and entered renewal prices total "&amp;TEXT(D5,"$#,##0")&amp;". The signed net identified costout in Column J is "&amp;TEXT(G5,"$#,##0")&amp;". Of the "&amp;TEXT(E24+F24,"$#,##0")&amp;" gross positive costout identified, "&amp;TEXT(I5,"$#,##0")&amp;" is finalised ("&amp;TEXT(IFERROR(E24/(E24+F24),0),"0.0%")&amp;"); "&amp;TEXT(G24,"$#,##0")&amp;" is separately classified as budget variance / reclassification."</f>
        <v>The tracked V1 budget is $23,692,506 and entered renewal prices total $22,962,976. The signed net identified costout in Column J is $728,975. Of the $1,009,252 gross positive costout identified, $320,983 is finalised (31.8%); $280,277 is separately classified as budget variance / reclassification.</v>
      </c>
      <c r="B7" s="140"/>
      <c r="C7" s="140"/>
      <c r="D7" s="140"/>
      <c r="E7" s="140"/>
      <c r="F7" s="140"/>
      <c r="G7" s="140"/>
      <c r="H7" s="140"/>
      <c r="I7" s="140"/>
      <c r="J7" s="140"/>
      <c r="L7"/>
      <c r="M7"/>
    </row>
    <row r="8" spans="1:13" x14ac:dyDescent="0.25">
      <c r="A8" s="140"/>
      <c r="B8" s="140"/>
      <c r="C8" s="140"/>
      <c r="D8" s="140"/>
      <c r="E8" s="140"/>
      <c r="F8" s="140"/>
      <c r="G8" s="140"/>
      <c r="H8" s="140"/>
      <c r="I8" s="140"/>
      <c r="J8" s="140"/>
      <c r="L8"/>
      <c r="M8"/>
    </row>
    <row r="9" spans="1:13" ht="15" customHeight="1" x14ac:dyDescent="0.25">
      <c r="A9"/>
      <c r="B9"/>
      <c r="H9"/>
      <c r="I9"/>
      <c r="J9"/>
      <c r="L9"/>
      <c r="M9"/>
    </row>
    <row r="10" spans="1:13" ht="15.75" x14ac:dyDescent="0.25">
      <c r="A10" s="137" t="s">
        <v>578</v>
      </c>
      <c r="B10" s="137"/>
      <c r="C10" s="137"/>
      <c r="D10" s="137"/>
      <c r="E10" s="137"/>
      <c r="F10" s="137"/>
      <c r="G10" s="137"/>
      <c r="H10"/>
      <c r="I10"/>
      <c r="J10"/>
      <c r="L10"/>
      <c r="M10"/>
    </row>
    <row r="11" spans="1:13" x14ac:dyDescent="0.25">
      <c r="A11" s="125" t="s">
        <v>566</v>
      </c>
      <c r="B11" s="125" t="s">
        <v>567</v>
      </c>
      <c r="C11" s="125" t="s">
        <v>568</v>
      </c>
      <c r="D11" s="125" t="s">
        <v>569</v>
      </c>
      <c r="E11" s="125" t="s">
        <v>570</v>
      </c>
      <c r="F11" s="125" t="s">
        <v>571</v>
      </c>
      <c r="G11" s="125" t="s">
        <v>13</v>
      </c>
      <c r="H11"/>
      <c r="I11"/>
      <c r="J11"/>
      <c r="L11"/>
      <c r="M11"/>
    </row>
    <row r="12" spans="1:13" x14ac:dyDescent="0.25">
      <c r="A12" s="126" t="s">
        <v>553</v>
      </c>
      <c r="B12" s="130" cm="1">
        <f t="array" ref="B12">SUM(SUMIFS('Fake Simplified View'!$F$2:$F$143,'Fake Simplified View'!$D$2:$D$143,{"Licensing","Consumption","New spend","Microsoft"},'Fake Simplified View'!$E$2:$E$143,"&gt;="&amp;DATE(2026,7,1),'Fake Simplified View'!$E$2:$E$143,"&lt;"&amp;DATE(2026,10,1)))</f>
        <v>844008.17277530488</v>
      </c>
      <c r="C12" s="130" cm="1">
        <f t="array" ref="C12">SUM(SUMIFS('Fake Simplified View'!$F$2:$F$143,'Fake Simplified View'!$D$2:$D$143,{"Licensing","Consumption","New spend","Microsoft"},'Fake Simplified View'!$E$2:$E$143,"&gt;="&amp;DATE(2026,10,1),'Fake Simplified View'!$E$2:$E$143,"&lt;"&amp;DATE(2027,1,1)))</f>
        <v>3477136.3066633623</v>
      </c>
      <c r="D12" s="130" cm="1">
        <f t="array" ref="D12">SUM(SUMIFS('Fake Simplified View'!$F$2:$F$143,'Fake Simplified View'!$D$2:$D$143,{"Licensing","Consumption","New spend","Microsoft"},'Fake Simplified View'!$E$2:$E$143,"&gt;="&amp;DATE(2027,1,1),'Fake Simplified View'!$E$2:$E$143,"&lt;"&amp;DATE(2027,4,1)))</f>
        <v>1175842.5</v>
      </c>
      <c r="E12" s="130" cm="1">
        <f t="array" ref="E12">SUM(SUMIFS('Fake Simplified View'!$F$2:$F$143,'Fake Simplified View'!$D$2:$D$143,{"Licensing","Consumption","New spend","Microsoft"},'Fake Simplified View'!$E$2:$E$143,"&gt;="&amp;DATE(2027,4,1),'Fake Simplified View'!$E$2:$E$143,"&lt;"&amp;DATE(2027,7,1)))</f>
        <v>1272025.9100000001</v>
      </c>
      <c r="F12" s="130" cm="1">
        <f t="array" ref="F12">SUMPRODUCT(--ISNUMBER(MATCH('Fake Simplified View'!$D$2:$D$143,{"Licensing","Consumption","New spend","Microsoft"},0)),--IF(ISNUMBER('Fake Simplified View'!$E$2:$E$143),(('Fake Simplified View'!$E$2:$E$143&lt;DATE(2026,7,1))+('Fake Simplified View'!$E$2:$E$143&gt;=DATE(2027,7,1))&gt;0),TRUE),'Fake Simplified View'!$F$2:$F$143)</f>
        <v>16923493.56817599</v>
      </c>
      <c r="G12" s="130">
        <f>B24</f>
        <v>23692506.45761466</v>
      </c>
      <c r="H12"/>
      <c r="I12"/>
      <c r="J12"/>
      <c r="L12"/>
      <c r="M12"/>
    </row>
    <row r="13" spans="1:13" x14ac:dyDescent="0.25">
      <c r="A13" s="126" t="s">
        <v>579</v>
      </c>
      <c r="B13" s="130" cm="1">
        <f t="array" ref="B13">SUM(SUMIFS('Fake Simplified View'!$G$2:$G$143,'Fake Simplified View'!$D$2:$D$143,{"Licensing","Consumption","New spend","Microsoft"},'Fake Simplified View'!$E$2:$E$143,"&gt;="&amp;DATE(2026,7,1),'Fake Simplified View'!$E$2:$E$143,"&lt;"&amp;DATE(2026,10,1)))</f>
        <v>588167.13000000012</v>
      </c>
      <c r="C13" s="130" cm="1">
        <f t="array" ref="C13">SUM(SUMIFS('Fake Simplified View'!$G$2:$G$143,'Fake Simplified View'!$D$2:$D$143,{"Licensing","Consumption","New spend","Microsoft"},'Fake Simplified View'!$E$2:$E$143,"&gt;="&amp;DATE(2026,10,1),'Fake Simplified View'!$E$2:$E$143,"&lt;"&amp;DATE(2027,1,1)))</f>
        <v>3379516.6699999995</v>
      </c>
      <c r="D13" s="130" cm="1">
        <f t="array" ref="D13">SUM(SUMIFS('Fake Simplified View'!$G$2:$G$143,'Fake Simplified View'!$D$2:$D$143,{"Licensing","Consumption","New spend","Microsoft"},'Fake Simplified View'!$E$2:$E$143,"&gt;="&amp;DATE(2027,1,1),'Fake Simplified View'!$E$2:$E$143,"&lt;"&amp;DATE(2027,4,1)))</f>
        <v>1172578.3591780823</v>
      </c>
      <c r="E13" s="130" cm="1">
        <f t="array" ref="E13">SUM(SUMIFS('Fake Simplified View'!$G$2:$G$143,'Fake Simplified View'!$D$2:$D$143,{"Licensing","Consumption","New spend","Microsoft"},'Fake Simplified View'!$E$2:$E$143,"&gt;="&amp;DATE(2027,4,1),'Fake Simplified View'!$E$2:$E$143,"&lt;"&amp;DATE(2027,7,1)))</f>
        <v>1264749.7300000002</v>
      </c>
      <c r="F13" s="130" cm="1">
        <f t="array" ref="F13">SUMPRODUCT(--ISNUMBER(MATCH('Fake Simplified View'!$D$2:$D$143,{"Licensing","Consumption","New spend","Microsoft"},0)),--IF(ISNUMBER('Fake Simplified View'!$E$2:$E$143),(('Fake Simplified View'!$E$2:$E$143&lt;DATE(2026,7,1))+('Fake Simplified View'!$E$2:$E$143&gt;=DATE(2027,7,1))&gt;0),TRUE),'Fake Simplified View'!$G$2:$G$143)</f>
        <v>16557964.16</v>
      </c>
      <c r="G13" s="130">
        <f>C24</f>
        <v>22962976.049178086</v>
      </c>
      <c r="H13"/>
      <c r="I13"/>
      <c r="J13"/>
      <c r="L13"/>
      <c r="M13"/>
    </row>
    <row r="14" spans="1:13" x14ac:dyDescent="0.25">
      <c r="A14" s="124" t="s">
        <v>580</v>
      </c>
      <c r="B14" s="122" cm="1">
        <f t="array" ref="B14">SUM(SUMIFS('Fake Simplified View'!$H$2:$H$143,'Fake Simplified View'!$D$2:$D$143,{"Licensing","Consumption","New spend","Microsoft"},'Fake Simplified View'!$E$2:$E$143,"&gt;="&amp;DATE(2026,7,1),'Fake Simplified View'!$E$2:$E$143,"&lt;"&amp;DATE(2026,10,1)))</f>
        <v>255841.04277530493</v>
      </c>
      <c r="C14" s="122" cm="1">
        <f t="array" ref="C14">SUM(SUMIFS('Fake Simplified View'!$H$2:$H$143,'Fake Simplified View'!$D$2:$D$143,{"Licensing","Consumption","New spend","Microsoft"},'Fake Simplified View'!$E$2:$E$143,"&gt;="&amp;DATE(2026,10,1),'Fake Simplified View'!$E$2:$E$143,"&lt;"&amp;DATE(2027,1,1)))</f>
        <v>97619.636663362631</v>
      </c>
      <c r="D14" s="122" cm="1">
        <f t="array" ref="D14">SUM(SUMIFS('Fake Simplified View'!$H$2:$H$143,'Fake Simplified View'!$D$2:$D$143,{"Licensing","Consumption","New spend","Microsoft"},'Fake Simplified View'!$E$2:$E$143,"&gt;="&amp;DATE(2027,1,1),'Fake Simplified View'!$E$2:$E$143,"&lt;"&amp;DATE(2027,4,1)))</f>
        <v>2708.36</v>
      </c>
      <c r="E14" s="122" cm="1">
        <f t="array" ref="E14">SUM(SUMIFS('Fake Simplified View'!$H$2:$H$143,'Fake Simplified View'!$D$2:$D$143,{"Licensing","Consumption","New spend","Microsoft"},'Fake Simplified View'!$E$2:$E$143,"&gt;="&amp;DATE(2027,4,1),'Fake Simplified View'!$E$2:$E$143,"&lt;"&amp;DATE(2027,7,1)))</f>
        <v>7276.18</v>
      </c>
      <c r="F14" s="122" cm="1">
        <f t="array" ref="F14">SUMPRODUCT(--ISNUMBER(MATCH('Fake Simplified View'!$D$2:$D$143,{"Licensing","Consumption","New spend","Microsoft"},0)),--IF(ISNUMBER('Fake Simplified View'!$E$2:$E$143),(('Fake Simplified View'!$E$2:$E$143&lt;DATE(2026,7,1))+('Fake Simplified View'!$E$2:$E$143&gt;=DATE(2027,7,1))&gt;0),TRUE),'Fake Simplified View'!$H$2:$H$143)</f>
        <v>365529.40817599325</v>
      </c>
      <c r="G14" s="122">
        <f>D24</f>
        <v>728974.62761466089</v>
      </c>
      <c r="H14"/>
      <c r="I14"/>
      <c r="J14"/>
      <c r="L14"/>
      <c r="M14"/>
    </row>
    <row r="15" spans="1:13" x14ac:dyDescent="0.25">
      <c r="A15" s="127" t="s">
        <v>581</v>
      </c>
      <c r="B15" s="119" cm="1">
        <f t="array" ref="B15">SUM(SUMIFS('Fake Simplified View'!$H$2:$H$143,'Fake Simplified View'!$D$2:$D$143,{"Licensing","Consumption","New spend","Microsoft"},'Fake Simplified View'!$C$2:$C$143,"Y",'Fake Simplified View'!$H$2:$H$143,"&gt;0",'Fake Simplified View'!$E$2:$E$143,"&gt;="&amp;DATE(2026,7,1),'Fake Simplified View'!$E$2:$E$143,"&lt;"&amp;DATE(2026,10,1)))</f>
        <v>27820.322775304932</v>
      </c>
      <c r="C15" s="119" cm="1">
        <f t="array" ref="C15">SUM(SUMIFS('Fake Simplified View'!$H$2:$H$143,'Fake Simplified View'!$D$2:$D$143,{"Licensing","Consumption","New spend","Microsoft"},'Fake Simplified View'!$C$2:$C$143,"Y",'Fake Simplified View'!$H$2:$H$143,"&gt;0",'Fake Simplified View'!$E$2:$E$143,"&gt;="&amp;DATE(2026,10,1),'Fake Simplified View'!$E$2:$E$143,"&lt;"&amp;DATE(2027,1,1)))</f>
        <v>22095.129999999997</v>
      </c>
      <c r="D15" s="119" cm="1">
        <f t="array" ref="D15">SUM(SUMIFS('Fake Simplified View'!$H$2:$H$143,'Fake Simplified View'!$D$2:$D$143,{"Licensing","Consumption","New spend","Microsoft"},'Fake Simplified View'!$C$2:$C$143,"Y",'Fake Simplified View'!$H$2:$H$143,"&gt;0",'Fake Simplified View'!$E$2:$E$143,"&gt;="&amp;DATE(2027,1,1),'Fake Simplified View'!$E$2:$E$143,"&lt;"&amp;DATE(2027,4,1)))</f>
        <v>0</v>
      </c>
      <c r="E15" s="119" cm="1">
        <f t="array" ref="E15">SUM(SUMIFS('Fake Simplified View'!$H$2:$H$143,'Fake Simplified View'!$D$2:$D$143,{"Licensing","Consumption","New spend","Microsoft"},'Fake Simplified View'!$C$2:$C$143,"Y",'Fake Simplified View'!$H$2:$H$143,"&gt;0",'Fake Simplified View'!$E$2:$E$143,"&gt;="&amp;DATE(2027,4,1),'Fake Simplified View'!$E$2:$E$143,"&lt;"&amp;DATE(2027,7,1)))</f>
        <v>0</v>
      </c>
      <c r="F15" s="119" cm="1">
        <f t="array" ref="F15">SUMPRODUCT(--ISNUMBER(MATCH('Fake Simplified View'!$D$2:$D$143,{"Licensing","Consumption","New spend","Microsoft"},0)),--IF(ISNUMBER('Fake Simplified View'!$E$2:$E$143),(('Fake Simplified View'!$E$2:$E$143&lt;DATE(2026,7,1))+('Fake Simplified View'!$E$2:$E$143&gt;=DATE(2027,7,1))&gt;0),TRUE),--(UPPER(TRIM('Fake Simplified View'!$C$2:$C$143))="Y"),--('Fake Simplified View'!$H$2:$H$143&gt;0),'Fake Simplified View'!$H$2:$H$143)</f>
        <v>271067.96164383559</v>
      </c>
      <c r="G15" s="119">
        <f>E24</f>
        <v>320983.41441914049</v>
      </c>
      <c r="H15"/>
      <c r="I15"/>
      <c r="J15"/>
      <c r="L15"/>
      <c r="M15"/>
    </row>
    <row r="16" spans="1:13" x14ac:dyDescent="0.25">
      <c r="A16" s="128" t="s">
        <v>582</v>
      </c>
      <c r="B16" s="120" cm="1">
        <f t="array" ref="B16">SUM(SUMIFS('Fake Simplified View'!$H$2:$H$143,'Fake Simplified View'!$D$2:$D$143,{"Licensing","Consumption","New spend","Microsoft"},'Fake Simplified View'!$C$2:$C$143,"&lt;&gt;Y",'Fake Simplified View'!$H$2:$H$143,"&gt;0",'Fake Simplified View'!$E$2:$E$143,"&gt;="&amp;DATE(2026,7,1),'Fake Simplified View'!$E$2:$E$143,"&lt;"&amp;DATE(2026,10,1)))</f>
        <v>230609.96</v>
      </c>
      <c r="C16" s="120" cm="1">
        <f t="array" ref="C16">SUM(SUMIFS('Fake Simplified View'!$H$2:$H$143,'Fake Simplified View'!$D$2:$D$143,{"Licensing","Consumption","New spend","Microsoft"},'Fake Simplified View'!$C$2:$C$143,"&lt;&gt;Y",'Fake Simplified View'!$H$2:$H$143,"&gt;0",'Fake Simplified View'!$E$2:$E$143,"&gt;="&amp;DATE(2026,10,1),'Fake Simplified View'!$E$2:$E$143,"&lt;"&amp;DATE(2027,1,1)))</f>
        <v>111226.90666336264</v>
      </c>
      <c r="D16" s="120" cm="1">
        <f t="array" ref="D16">SUM(SUMIFS('Fake Simplified View'!$H$2:$H$143,'Fake Simplified View'!$D$2:$D$143,{"Licensing","Consumption","New spend","Microsoft"},'Fake Simplified View'!$C$2:$C$143,"&lt;&gt;Y",'Fake Simplified View'!$H$2:$H$143,"&gt;0",'Fake Simplified View'!$E$2:$E$143,"&gt;="&amp;DATE(2027,1,1),'Fake Simplified View'!$E$2:$E$143,"&lt;"&amp;DATE(2027,4,1)))</f>
        <v>3088.36</v>
      </c>
      <c r="E16" s="120" cm="1">
        <f t="array" ref="E16">SUM(SUMIFS('Fake Simplified View'!$H$2:$H$143,'Fake Simplified View'!$D$2:$D$143,{"Licensing","Consumption","New spend","Microsoft"},'Fake Simplified View'!$C$2:$C$143,"&lt;&gt;Y",'Fake Simplified View'!$H$2:$H$143,"&gt;0",'Fake Simplified View'!$E$2:$E$143,"&gt;="&amp;DATE(2027,4,1),'Fake Simplified View'!$E$2:$E$143,"&lt;"&amp;DATE(2027,7,1)))</f>
        <v>48881.520000000004</v>
      </c>
      <c r="F16" s="120" cm="1">
        <f t="array" ref="F16">SUMPRODUCT(--ISNUMBER(MATCH('Fake Simplified View'!$D$2:$D$143,{"Licensing","Consumption","New spend","Microsoft"},0)),--IF(ISNUMBER('Fake Simplified View'!$E$2:$E$143),(('Fake Simplified View'!$E$2:$E$143&lt;DATE(2026,7,1))+('Fake Simplified View'!$E$2:$E$143&gt;=DATE(2027,7,1))&gt;0),TRUE),--(UPPER(TRIM('Fake Simplified View'!$C$2:$C$143))&lt;&gt;"Y"),--('Fake Simplified View'!$H$2:$H$143&gt;0),'Fake Simplified View'!$H$2:$H$143)</f>
        <v>294461.45318421233</v>
      </c>
      <c r="G16" s="120">
        <f>F24</f>
        <v>688268.19984757493</v>
      </c>
      <c r="H16"/>
      <c r="I16"/>
      <c r="J16"/>
      <c r="L16"/>
      <c r="M16"/>
    </row>
    <row r="17" spans="1:13" ht="30" x14ac:dyDescent="0.25">
      <c r="A17" s="129" t="s">
        <v>573</v>
      </c>
      <c r="B17" s="131" cm="1">
        <f t="array" ref="B17">-SUM(SUMIFS('Fake Simplified View'!$H$2:$H$143,'Fake Simplified View'!$D$2:$D$143,{"Licensing","Consumption","New spend","Microsoft"},'Fake Simplified View'!$H$2:$H$143,"&lt;0",'Fake Simplified View'!$E$2:$E$143,"&gt;="&amp;DATE(2026,7,1),'Fake Simplified View'!$E$2:$E$143,"&lt;"&amp;DATE(2026,10,1)))</f>
        <v>2589.2400000000052</v>
      </c>
      <c r="C17" s="131" cm="1">
        <f t="array" ref="C17">-SUM(SUMIFS('Fake Simplified View'!$H$2:$H$143,'Fake Simplified View'!$D$2:$D$143,{"Licensing","Consumption","New spend","Microsoft"},'Fake Simplified View'!$H$2:$H$143,"&lt;0",'Fake Simplified View'!$E$2:$E$143,"&gt;="&amp;DATE(2026,10,1),'Fake Simplified View'!$E$2:$E$143,"&lt;"&amp;DATE(2027,1,1)))</f>
        <v>35702.400000000001</v>
      </c>
      <c r="D17" s="131" cm="1">
        <f t="array" ref="D17">-SUM(SUMIFS('Fake Simplified View'!$H$2:$H$143,'Fake Simplified View'!$D$2:$D$143,{"Licensing","Consumption","New spend","Microsoft"},'Fake Simplified View'!$H$2:$H$143,"&lt;0",'Fake Simplified View'!$E$2:$E$143,"&gt;="&amp;DATE(2027,1,1),'Fake Simplified View'!$E$2:$E$143,"&lt;"&amp;DATE(2027,4,1)))</f>
        <v>380</v>
      </c>
      <c r="E17" s="131" cm="1">
        <f t="array" ref="E17">-SUM(SUMIFS('Fake Simplified View'!$H$2:$H$143,'Fake Simplified View'!$D$2:$D$143,{"Licensing","Consumption","New spend","Microsoft"},'Fake Simplified View'!$H$2:$H$143,"&lt;0",'Fake Simplified View'!$E$2:$E$143,"&gt;="&amp;DATE(2027,4,1),'Fake Simplified View'!$E$2:$E$143,"&lt;"&amp;DATE(2027,7,1)))</f>
        <v>41605.339999999997</v>
      </c>
      <c r="F17" s="131" cm="1">
        <f t="array" ref="F17">-SUMPRODUCT(--ISNUMBER(MATCH('Fake Simplified View'!$D$2:$D$143,{"Licensing","Consumption","New spend","Microsoft"},0)),--IF(ISNUMBER('Fake Simplified View'!$E$2:$E$143),(('Fake Simplified View'!$E$2:$E$143&lt;DATE(2026,7,1))+('Fake Simplified View'!$E$2:$E$143&gt;=DATE(2027,7,1))&gt;0),TRUE),--('Fake Simplified View'!$H$2:$H$143&lt;0),'Fake Simplified View'!$H$2:$H$143)</f>
        <v>200000.00665205478</v>
      </c>
      <c r="G17" s="131">
        <f>G24</f>
        <v>280276.98665205482</v>
      </c>
      <c r="H17"/>
      <c r="I17"/>
      <c r="J17"/>
      <c r="L17"/>
      <c r="M17"/>
    </row>
    <row r="18" spans="1:13" x14ac:dyDescent="0.25">
      <c r="A18"/>
      <c r="B18"/>
      <c r="H18"/>
      <c r="I18"/>
      <c r="J18"/>
      <c r="L18"/>
      <c r="M18"/>
    </row>
    <row r="19" spans="1:13" ht="15.75" x14ac:dyDescent="0.25">
      <c r="A19" s="137" t="s">
        <v>583</v>
      </c>
      <c r="B19" s="137"/>
      <c r="C19" s="137"/>
      <c r="D19" s="137"/>
      <c r="E19" s="137"/>
      <c r="F19" s="137"/>
      <c r="G19" s="137"/>
      <c r="H19"/>
      <c r="I19"/>
      <c r="J19"/>
      <c r="L19"/>
      <c r="M19"/>
    </row>
    <row r="20" spans="1:13" ht="45" x14ac:dyDescent="0.25">
      <c r="A20" s="132" t="s">
        <v>8</v>
      </c>
      <c r="B20" s="132" t="s">
        <v>553</v>
      </c>
      <c r="C20" s="132" t="s">
        <v>579</v>
      </c>
      <c r="D20" s="132" t="s">
        <v>580</v>
      </c>
      <c r="E20" s="132" t="s">
        <v>581</v>
      </c>
      <c r="F20" s="132" t="s">
        <v>582</v>
      </c>
      <c r="G20" s="132" t="s">
        <v>573</v>
      </c>
      <c r="H20"/>
      <c r="I20"/>
      <c r="J20"/>
      <c r="L20"/>
      <c r="M20"/>
    </row>
    <row r="21" spans="1:13" x14ac:dyDescent="0.25">
      <c r="A21" s="133" t="s">
        <v>555</v>
      </c>
      <c r="B21" s="130">
        <f>SUMIFS('Fake Simplified View'!$F$2:$F$143,'Fake Simplified View'!$D$2:$D$143,$A21)</f>
        <v>15574044.945025282</v>
      </c>
      <c r="C21" s="130">
        <f>SUMIFS('Fake Simplified View'!$G$2:$G$143,'Fake Simplified View'!$D$2:$D$143,$A21)</f>
        <v>14844914.539178083</v>
      </c>
      <c r="D21" s="130">
        <f>SUMIFS('Fake Simplified View'!$H$2:$H$143,'Fake Simplified View'!$D$2:$D$143,$A21)</f>
        <v>728574.62502528576</v>
      </c>
      <c r="E21" s="119">
        <f>SUMIFS('Fake Simplified View'!$H$2:$H$143,'Fake Simplified View'!$D$2:$D$143,$A21,'Fake Simplified View'!$C$2:$C$143,"Y",'Fake Simplified View'!$H$2:$H$143,"&gt;0")</f>
        <v>320983.41441914049</v>
      </c>
      <c r="F21" s="120">
        <f>SUMIFS('Fake Simplified View'!$H$2:$H$143,'Fake Simplified View'!$D$2:$D$143,$A21,'Fake Simplified View'!$C$2:$C$143,"&lt;&gt;Y",'Fake Simplified View'!$H$2:$H$143,"&gt;0")</f>
        <v>687868.1972581998</v>
      </c>
      <c r="G21" s="121">
        <f>-SUMIFS('Fake Simplified View'!$H$2:$H$143,'Fake Simplified View'!$D$2:$D$143,$A21,'Fake Simplified View'!$H$2:$H$143,"&lt;0")</f>
        <v>280276.98665205482</v>
      </c>
      <c r="H21"/>
      <c r="I21" t="s">
        <v>584</v>
      </c>
      <c r="J21"/>
      <c r="L21"/>
      <c r="M21"/>
    </row>
    <row r="22" spans="1:13" x14ac:dyDescent="0.25">
      <c r="A22" s="133" t="s">
        <v>0</v>
      </c>
      <c r="B22" s="130">
        <f>SUMIFS('Fake Simplified View'!$F$2:$F$143,'Fake Simplified View'!$D$2:$D$143,$A22)</f>
        <v>7659712.8425893756</v>
      </c>
      <c r="C22" s="130">
        <f>SUMIFS('Fake Simplified View'!$G$2:$G$143,'Fake Simplified View'!$D$2:$D$143,$A22)</f>
        <v>7659312.8399999999</v>
      </c>
      <c r="D22" s="130">
        <f>SUMIFS('Fake Simplified View'!$H$2:$H$143,'Fake Simplified View'!$D$2:$D$143,$A22)</f>
        <v>400.00258937513718</v>
      </c>
      <c r="E22" s="119">
        <f>SUMIFS('Fake Simplified View'!$H$2:$H$143,'Fake Simplified View'!$D$2:$D$143,$A22,'Fake Simplified View'!$C$2:$C$143,"Y",'Fake Simplified View'!$H$2:$H$143,"&gt;0")</f>
        <v>0</v>
      </c>
      <c r="F22" s="120">
        <f>SUMIFS('Fake Simplified View'!$H$2:$H$143,'Fake Simplified View'!$D$2:$D$143,$A22,'Fake Simplified View'!$C$2:$C$143,"&lt;&gt;Y",'Fake Simplified View'!$H$2:$H$143,"&gt;0")</f>
        <v>400.00258937513718</v>
      </c>
      <c r="G22" s="121">
        <f>-SUMIFS('Fake Simplified View'!$H$2:$H$143,'Fake Simplified View'!$D$2:$D$143,$A22,'Fake Simplified View'!$H$2:$H$143,"&lt;0")</f>
        <v>0</v>
      </c>
      <c r="H22"/>
      <c r="I22" t="s">
        <v>585</v>
      </c>
      <c r="J22"/>
      <c r="L22"/>
      <c r="M22"/>
    </row>
    <row r="23" spans="1:13" x14ac:dyDescent="0.25">
      <c r="A23" s="133" t="s">
        <v>29</v>
      </c>
      <c r="B23" s="130">
        <f>SUMIFS('Fake Simplified View'!$F$2:$F$143,'Fake Simplified View'!$D$2:$D$143,$A23)</f>
        <v>458748.67000000004</v>
      </c>
      <c r="C23" s="130">
        <f>SUMIFS('Fake Simplified View'!$G$2:$G$143,'Fake Simplified View'!$D$2:$D$143,$A23)</f>
        <v>458748.67000000004</v>
      </c>
      <c r="D23" s="130">
        <f>SUMIFS('Fake Simplified View'!$H$2:$H$143,'Fake Simplified View'!$D$2:$D$143,$A23)</f>
        <v>0</v>
      </c>
      <c r="E23" s="119">
        <f>SUMIFS('Fake Simplified View'!$H$2:$H$143,'Fake Simplified View'!$D$2:$D$143,$A23,'Fake Simplified View'!$C$2:$C$143,"Y",'Fake Simplified View'!$H$2:$H$143,"&gt;0")</f>
        <v>0</v>
      </c>
      <c r="F23" s="120">
        <f>SUMIFS('Fake Simplified View'!$H$2:$H$143,'Fake Simplified View'!$D$2:$D$143,$A23,'Fake Simplified View'!$C$2:$C$143,"&lt;&gt;Y",'Fake Simplified View'!$H$2:$H$143,"&gt;0")</f>
        <v>0</v>
      </c>
      <c r="G23" s="121">
        <f>-SUMIFS('Fake Simplified View'!$H$2:$H$143,'Fake Simplified View'!$D$2:$D$143,$A23,'Fake Simplified View'!$H$2:$H$143,"&lt;0")</f>
        <v>0</v>
      </c>
      <c r="H23"/>
      <c r="I23" t="s">
        <v>586</v>
      </c>
      <c r="J23"/>
      <c r="L23"/>
      <c r="M23"/>
    </row>
    <row r="24" spans="1:13" x14ac:dyDescent="0.25">
      <c r="A24" s="118" t="s">
        <v>572</v>
      </c>
      <c r="B24" s="123">
        <f t="shared" ref="B24:G24" si="0">SUM(B21:B23)</f>
        <v>23692506.45761466</v>
      </c>
      <c r="C24" s="123">
        <f t="shared" si="0"/>
        <v>22962976.049178086</v>
      </c>
      <c r="D24" s="123">
        <f t="shared" si="0"/>
        <v>728974.62761466089</v>
      </c>
      <c r="E24" s="123">
        <f t="shared" si="0"/>
        <v>320983.41441914049</v>
      </c>
      <c r="F24" s="123">
        <f t="shared" si="0"/>
        <v>688268.19984757493</v>
      </c>
      <c r="G24" s="123">
        <f t="shared" si="0"/>
        <v>280276.98665205482</v>
      </c>
      <c r="H24"/>
      <c r="I24"/>
      <c r="J24"/>
      <c r="L24"/>
      <c r="M24"/>
    </row>
    <row r="25" spans="1:13" x14ac:dyDescent="0.25">
      <c r="A25"/>
      <c r="B25"/>
      <c r="H25"/>
      <c r="I25"/>
      <c r="J25"/>
      <c r="L25"/>
      <c r="M25"/>
    </row>
    <row r="26" spans="1:13" x14ac:dyDescent="0.25">
      <c r="A26" s="138" t="str" cm="1">
        <f t="array" ref="A26">_xlfn._LONGTEXT("Definitions: Net identified costout = the signed total of Column J across Licensing, Consumption, New Spend and Microsoft. Gross positive costout = positive Column J only. Finalised positive costout = positive Column J where Finalised? is Y. Budget varian","ce / reclassification = the absolute value of negative Column J. Entered renewal price sums values currently populated in Column I. Data note: ")&amp;SUMPRODUCT(--ISNUMBER(MATCH('Fake Simplified View'!$D$2:$D$143,{"Licensing","Consumption","New spend","Microsoft"},0)),--('Fake Simplified View'!$G$2:$G$143=""))&amp;" tracked renewal-price cells are blank, covering "&amp;TEXT(SUMPRODUCT(--ISNUMBER(MATCH('Fake Simplified View'!$D$2:$D$143,{"Licensing","Consumption","New spend","Microsoft"},0)),--('Fake Simplified View'!$G$2:$G$143=""),'Fake Simplified View'!$F$2:$F$143),"$#,##0")&amp;" of V1 budget."</f>
        <v>Definitions: Net identified costout = the signed total of Column J across Licensing, Consumption, New Spend and Microsoft. Gross positive costout = positive Column J only. Finalised positive costout = positive Column J where Finalised? is Y. Budget variance / reclassification = the absolute value of negative Column J. Entered renewal price sums values currently populated in Column I. Data note: 8 tracked renewal-price cells are blank, covering $91,963 of V1 budget.</v>
      </c>
      <c r="B26" s="138"/>
      <c r="C26" s="138"/>
      <c r="D26" s="138"/>
      <c r="E26" s="138"/>
      <c r="F26" s="138"/>
      <c r="G26" s="138"/>
      <c r="H26" s="138"/>
      <c r="I26" s="138"/>
      <c r="J26" s="138"/>
      <c r="L26"/>
      <c r="M26"/>
    </row>
    <row r="27" spans="1:13" x14ac:dyDescent="0.25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L27"/>
      <c r="M27"/>
    </row>
    <row r="30" spans="1:13" ht="26.1" customHeight="1" x14ac:dyDescent="0.3">
      <c r="A30" s="110" t="s">
        <v>561</v>
      </c>
      <c r="B30" s="110"/>
      <c r="C30" s="108"/>
      <c r="D30" s="108"/>
      <c r="E30" s="108"/>
      <c r="F30" s="108"/>
      <c r="G30" s="108"/>
      <c r="H30" s="108"/>
      <c r="I30" s="108"/>
    </row>
    <row r="31" spans="1:13" x14ac:dyDescent="0.25">
      <c r="A31" s="11" t="str" cm="1">
        <f t="array" ref="A31:F142">_xlfn.LET(_xlpm.committed,_xlfn._xlws.FILTER(_xlfn.CHOOSECOLS('Fake Simplified View'!A2:H143,1,2,6,7,8),('Fake Simplified View'!D2:D143="Licensing")*(UPPER(TRIM('Fake Simplified View'!C2:C143))="Y"),""),_xlpm.committed6,_xlfn.HSTACK(_xlpm.committed,_xlfn.MAKEARRAY(ROWS(_xlpm.committed),1,_xlfn.LAMBDA(_xlpm.r,_xlpm.c,""))),_xlpm.raw,_xlfn._xlws.FILTER(_xlfn.CHOOSECOLS('Fake Simplified View'!A2:H143,1,2,5,6,7,8),('Fake Simplified View'!D2:D143="Licensing")*(UPPER(TRIM('Fake Simplified View'!C2:C143))&lt;&gt;"Y")),_xlpm.dates,_xlfn.CHOOSECOLS(_xlpm.raw,3),_xlpm.licensing,_xlfn.HSTACK(_xlfn.CHOOSECOLS(_xlpm.raw,1,2),IF(ISNUMBER(_xlpm.dates),IF(_xlpm.dates=0,"",TEXT(_xlpm.dates,"dd-mmm-yy")),_xlpm.dates),_xlfn.CHOOSECOLS(_xlpm.raw,4,5,6)),_xlpm.sortedLicensing,_xlfn.SORTBY(_xlpm.licensing,IF(ISNUMBER(_xlpm.dates),IF(_xlpm.dates&gt;0,_xlpm.dates,1E+99),1E+99),1),_xlfn.VSTACK({"Vendor","Contract","V1 budget","Renewal price","Costout",""},_xlpm.committed6,{"","","","","",""},{"","","","","",""},{"Upcoming licensing vendors","","","","",""},{"Vendor","Contract","Contract date","V1 budget","Renewal price","Costout"},_xlpm.sortedLicensing))</f>
        <v>Vendor</v>
      </c>
      <c r="B31" s="113" t="str">
        <v>Contract</v>
      </c>
      <c r="C31" s="109" t="str">
        <v>V1 budget</v>
      </c>
      <c r="D31" s="109" t="str">
        <v>Renewal price</v>
      </c>
      <c r="E31" s="109" t="str">
        <v>Costout</v>
      </c>
      <c r="F31" s="109" t="str">
        <v/>
      </c>
      <c r="G31" t="str" cm="1">
        <f t="array" ref="G31:J48">_xlfn.LET(_xlpm.cm,('Fake Simplified View'!D2:D143="Licensing")*(UPPER(TRIM('Fake Simplified View'!C2:C143))="Y"),_xlpm.lm,('Fake Simplified View'!D2:D143="Licensing")*(UPPER(TRIM('Fake Simplified View'!C2:C143))&lt;&gt;"Y"),_xlpm.cc,SUM(--_xlpm.cm),_xlpm.lc,SUM(--_xlpm.lm),_xlfn.VSTACK(_xlfn.HSTACK("Committed summary","V1 budget","Renewal price","Costout"),_xlfn.HSTACK(_xlpm.cc&amp;" committed items",SUM(_xlfn._xlws.FILTER('Fake Simplified View'!F2:F143,_xlpm.cm,0)),SUM(_xlfn._xlws.FILTER('Fake Simplified View'!G2:G143,_xlpm.cm,0)),SUM(_xlfn._xlws.FILTER('Fake Simplified View'!H2:H143,_xlpm.cm,0))),_xlfn.MAKEARRAY(_xlpm.cc+2,4,_xlfn.LAMBDA(_xlpm.r,_xlpm.c,"")),_xlfn.HSTACK("Licensing summary","V1 budget","Renewal price","Costout"),_xlfn.HSTACK(_xlpm.lc&amp;" uncommitted items",SUM(_xlfn._xlws.FILTER('Fake Simplified View'!F2:F143,_xlpm.lm,0)),SUM(_xlfn._xlws.FILTER('Fake Simplified View'!G2:G143,_xlpm.lm,0)),SUM(_xlfn._xlws.FILTER('Fake Simplified View'!H2:H143,_xlpm.lm,0)))))</f>
        <v>Committed summary</v>
      </c>
      <c r="H31" s="109" t="str">
        <v>V1 budget</v>
      </c>
      <c r="I31" s="109" t="str">
        <v>Renewal price</v>
      </c>
      <c r="J31" s="115" t="str">
        <v>Costout</v>
      </c>
    </row>
    <row r="32" spans="1:13" x14ac:dyDescent="0.25">
      <c r="A32" s="11" t="str">
        <v>Example Vendor 001</v>
      </c>
      <c r="B32" s="113" t="str">
        <v>Example Contract 001</v>
      </c>
      <c r="C32" s="109">
        <v>31644</v>
      </c>
      <c r="D32" s="109">
        <v>0</v>
      </c>
      <c r="E32" s="109">
        <v>31644</v>
      </c>
      <c r="F32" s="109" t="str">
        <v/>
      </c>
      <c r="G32" t="str">
        <v>12 committed items</v>
      </c>
      <c r="H32" s="109">
        <v>342506.41441914049</v>
      </c>
      <c r="I32" s="109">
        <v>21523</v>
      </c>
      <c r="J32" s="115">
        <v>320983.41441914049</v>
      </c>
    </row>
    <row r="33" spans="1:10" x14ac:dyDescent="0.25">
      <c r="A33" s="11" t="str">
        <v>Example Vendor 002</v>
      </c>
      <c r="B33" s="113" t="str">
        <v>Example Contract 002</v>
      </c>
      <c r="C33" s="109">
        <v>33330.361643835618</v>
      </c>
      <c r="D33" s="109">
        <v>0</v>
      </c>
      <c r="E33" s="109">
        <v>33330.361643835618</v>
      </c>
      <c r="F33" s="109" t="str">
        <v/>
      </c>
      <c r="G33" t="str">
        <v/>
      </c>
      <c r="H33" s="109" t="str">
        <v/>
      </c>
      <c r="I33" s="109" t="str">
        <v/>
      </c>
      <c r="J33" s="115" t="str">
        <v/>
      </c>
    </row>
    <row r="34" spans="1:10" x14ac:dyDescent="0.25">
      <c r="A34" s="11" t="str">
        <v>Example Vendor 003</v>
      </c>
      <c r="B34" s="113" t="str">
        <v>Example Contract 003</v>
      </c>
      <c r="C34" s="109">
        <v>13440</v>
      </c>
      <c r="D34" s="109">
        <v>0</v>
      </c>
      <c r="E34" s="109">
        <v>13440</v>
      </c>
      <c r="F34" s="109" t="str">
        <v/>
      </c>
      <c r="G34" t="str">
        <v/>
      </c>
      <c r="H34" s="109" t="str">
        <v/>
      </c>
      <c r="I34" s="109" t="str">
        <v/>
      </c>
      <c r="J34" s="115" t="str">
        <v/>
      </c>
    </row>
    <row r="35" spans="1:10" x14ac:dyDescent="0.25">
      <c r="A35" s="11" t="str">
        <v>Example Vendor 004</v>
      </c>
      <c r="B35" s="113" t="str">
        <v>Example Contract 004</v>
      </c>
      <c r="C35" s="109">
        <v>588</v>
      </c>
      <c r="D35" s="109">
        <v>0</v>
      </c>
      <c r="E35" s="109">
        <v>588</v>
      </c>
      <c r="F35" s="109" t="str">
        <v/>
      </c>
      <c r="G35" t="str">
        <v/>
      </c>
      <c r="H35" s="109" t="str">
        <v/>
      </c>
      <c r="I35" s="109" t="str">
        <v/>
      </c>
      <c r="J35" s="115" t="str">
        <v/>
      </c>
    </row>
    <row r="36" spans="1:10" x14ac:dyDescent="0.25">
      <c r="A36" s="11" t="str">
        <v>Example Vendor 006</v>
      </c>
      <c r="B36" s="113" t="str">
        <v>Example Contract 006</v>
      </c>
      <c r="C36" s="109">
        <v>187065.59999999998</v>
      </c>
      <c r="D36" s="109">
        <v>0</v>
      </c>
      <c r="E36" s="109">
        <v>187065.59999999998</v>
      </c>
      <c r="F36" s="109" t="str">
        <v/>
      </c>
      <c r="G36" t="str">
        <v/>
      </c>
      <c r="H36" s="109" t="str">
        <v/>
      </c>
      <c r="I36" s="109" t="str">
        <v/>
      </c>
      <c r="J36" s="115" t="str">
        <v/>
      </c>
    </row>
    <row r="37" spans="1:10" x14ac:dyDescent="0.25">
      <c r="A37" s="11" t="str">
        <v>Example Vendor 007</v>
      </c>
      <c r="B37" s="113" t="str">
        <v>Example Contract 007</v>
      </c>
      <c r="C37" s="109">
        <v>5000</v>
      </c>
      <c r="D37" s="109">
        <v>0</v>
      </c>
      <c r="E37" s="109">
        <v>5000</v>
      </c>
      <c r="F37" s="109" t="str">
        <v/>
      </c>
      <c r="G37" t="str">
        <v/>
      </c>
      <c r="H37" s="109" t="str">
        <v/>
      </c>
      <c r="I37" s="109" t="str">
        <v/>
      </c>
      <c r="J37" s="115" t="str">
        <v/>
      </c>
    </row>
    <row r="38" spans="1:10" x14ac:dyDescent="0.25">
      <c r="A38" s="11" t="str">
        <v>Example Vendor 008</v>
      </c>
      <c r="B38" s="113" t="str">
        <v>Example Contract 008</v>
      </c>
      <c r="C38" s="109">
        <v>2.8456501407393504</v>
      </c>
      <c r="D38" s="109">
        <v>0</v>
      </c>
      <c r="E38" s="109">
        <v>2.8456501407393504</v>
      </c>
      <c r="F38" s="109" t="str">
        <v/>
      </c>
      <c r="G38" t="str">
        <v/>
      </c>
      <c r="H38" s="109" t="str">
        <v/>
      </c>
      <c r="I38" s="109" t="str">
        <v/>
      </c>
      <c r="J38" s="115" t="str">
        <v/>
      </c>
    </row>
    <row r="39" spans="1:10" x14ac:dyDescent="0.25">
      <c r="A39" s="11" t="str">
        <v>Example Vendor 009</v>
      </c>
      <c r="B39" s="113" t="str">
        <v>Example Contract 009</v>
      </c>
      <c r="C39" s="109">
        <v>44383.56</v>
      </c>
      <c r="D39" s="109">
        <v>21315</v>
      </c>
      <c r="E39" s="109">
        <v>23068.559999999998</v>
      </c>
      <c r="F39" s="109" t="str">
        <v/>
      </c>
      <c r="G39" t="str">
        <v/>
      </c>
      <c r="H39" s="109" t="str">
        <v/>
      </c>
      <c r="I39" s="109" t="str">
        <v/>
      </c>
      <c r="J39" s="115" t="str">
        <v/>
      </c>
    </row>
    <row r="40" spans="1:10" x14ac:dyDescent="0.25">
      <c r="A40" s="11" t="str">
        <v>Example Vendor 010</v>
      </c>
      <c r="B40" s="113" t="str">
        <v>Example Contract 010</v>
      </c>
      <c r="C40" s="109">
        <v>4748.9171251641956</v>
      </c>
      <c r="D40" s="109">
        <v>0</v>
      </c>
      <c r="E40" s="109">
        <v>4748.9171251641956</v>
      </c>
      <c r="F40" s="109" t="str">
        <v/>
      </c>
      <c r="G40" t="str">
        <v/>
      </c>
      <c r="H40" s="109" t="str">
        <v/>
      </c>
      <c r="I40" s="109" t="str">
        <v/>
      </c>
      <c r="J40" s="115" t="str">
        <v/>
      </c>
    </row>
    <row r="41" spans="1:10" x14ac:dyDescent="0.25">
      <c r="A41" s="11" t="str">
        <v>Example Vendor 027</v>
      </c>
      <c r="B41" s="113" t="str">
        <v>Example Contract 038</v>
      </c>
      <c r="C41" s="109">
        <v>300.42</v>
      </c>
      <c r="D41" s="109">
        <v>208</v>
      </c>
      <c r="E41" s="109">
        <v>92.420000000000016</v>
      </c>
      <c r="F41" s="109" t="str">
        <v/>
      </c>
      <c r="G41" t="str">
        <v/>
      </c>
      <c r="H41" s="109" t="str">
        <v/>
      </c>
      <c r="I41" s="109" t="str">
        <v/>
      </c>
      <c r="J41" s="115" t="str">
        <v/>
      </c>
    </row>
    <row r="42" spans="1:10" x14ac:dyDescent="0.25">
      <c r="A42" s="11" t="str">
        <v>Example Vendor 036</v>
      </c>
      <c r="B42" s="113" t="str">
        <v>Example Contract 039</v>
      </c>
      <c r="C42" s="109">
        <v>12400.71</v>
      </c>
      <c r="D42" s="109">
        <v>0</v>
      </c>
      <c r="E42" s="109">
        <v>12400.71</v>
      </c>
      <c r="F42" s="109" t="str">
        <v/>
      </c>
      <c r="G42" t="str">
        <v/>
      </c>
      <c r="H42" s="109" t="str">
        <v/>
      </c>
      <c r="I42" s="109" t="str">
        <v/>
      </c>
      <c r="J42" s="115" t="str">
        <v/>
      </c>
    </row>
    <row r="43" spans="1:10" x14ac:dyDescent="0.25">
      <c r="A43" s="11" t="str">
        <v>Example Vendor 032</v>
      </c>
      <c r="B43" s="113" t="str">
        <v>Example Contract 042</v>
      </c>
      <c r="C43" s="109">
        <v>9602</v>
      </c>
      <c r="D43" s="109">
        <v>0</v>
      </c>
      <c r="E43" s="109">
        <v>9602</v>
      </c>
      <c r="F43" s="109" t="str">
        <v/>
      </c>
      <c r="G43" t="str">
        <v/>
      </c>
      <c r="H43" s="109" t="str">
        <v/>
      </c>
      <c r="I43" s="109" t="str">
        <v/>
      </c>
      <c r="J43" s="115" t="str">
        <v/>
      </c>
    </row>
    <row r="44" spans="1:10" ht="15" customHeight="1" x14ac:dyDescent="0.25">
      <c r="A44" s="11" t="str">
        <v/>
      </c>
      <c r="B44" s="113" t="str">
        <v/>
      </c>
      <c r="C44" s="109" t="str">
        <v/>
      </c>
      <c r="D44" s="109" t="str">
        <v/>
      </c>
      <c r="E44" s="109" t="str">
        <v/>
      </c>
      <c r="F44" s="109" t="str">
        <v/>
      </c>
      <c r="G44" t="str">
        <v/>
      </c>
      <c r="H44" s="109" t="str">
        <v/>
      </c>
      <c r="I44" s="109" t="str">
        <v/>
      </c>
      <c r="J44" s="115" t="str">
        <v/>
      </c>
    </row>
    <row r="45" spans="1:10" x14ac:dyDescent="0.25">
      <c r="A45" s="111" t="str">
        <v/>
      </c>
      <c r="B45" s="114" t="str">
        <v/>
      </c>
      <c r="C45" s="112" t="str">
        <v/>
      </c>
      <c r="D45" s="112" t="str">
        <v/>
      </c>
      <c r="E45" s="112" t="str">
        <v/>
      </c>
      <c r="F45" s="109" t="str">
        <v/>
      </c>
      <c r="G45" t="str">
        <v/>
      </c>
      <c r="H45" s="109" t="str">
        <v/>
      </c>
      <c r="I45" s="109" t="str">
        <v/>
      </c>
      <c r="J45" s="115" t="str">
        <v/>
      </c>
    </row>
    <row r="46" spans="1:10" x14ac:dyDescent="0.25">
      <c r="A46" s="11" t="str">
        <v>Upcoming licensing vendors</v>
      </c>
      <c r="B46" s="113" t="str">
        <v/>
      </c>
      <c r="C46" s="109" t="str">
        <v/>
      </c>
      <c r="D46" s="109" t="str">
        <v/>
      </c>
      <c r="E46" s="109" t="str">
        <v/>
      </c>
      <c r="F46" s="109" t="str">
        <v/>
      </c>
      <c r="G46" t="str">
        <v/>
      </c>
      <c r="H46" s="109" t="str">
        <v/>
      </c>
      <c r="I46" s="109" t="str">
        <v/>
      </c>
      <c r="J46" s="115" t="str">
        <v/>
      </c>
    </row>
    <row r="47" spans="1:10" x14ac:dyDescent="0.25">
      <c r="A47" s="11" t="str">
        <v>Vendor</v>
      </c>
      <c r="B47" s="113" t="str">
        <v>Contract</v>
      </c>
      <c r="C47" s="109" t="str">
        <v>Contract date</v>
      </c>
      <c r="D47" s="109" t="str">
        <v>V1 budget</v>
      </c>
      <c r="E47" s="109" t="str">
        <v>Renewal price</v>
      </c>
      <c r="F47" s="109" t="str">
        <v>Costout</v>
      </c>
      <c r="G47" t="str">
        <v>Licensing summary</v>
      </c>
      <c r="H47" s="109" t="str">
        <v>V1 budget</v>
      </c>
      <c r="I47" s="109" t="str">
        <v>Renewal price</v>
      </c>
      <c r="J47" s="115" t="str">
        <v>Costout</v>
      </c>
    </row>
    <row r="48" spans="1:10" x14ac:dyDescent="0.25">
      <c r="A48" s="11" t="str">
        <v>Example Vendor 011</v>
      </c>
      <c r="B48" s="113" t="str">
        <v>Example Contract 011</v>
      </c>
      <c r="C48" s="109" t="str">
        <v>31-Jul-26</v>
      </c>
      <c r="D48" s="109">
        <v>16835.05</v>
      </c>
      <c r="E48" s="109">
        <v>0</v>
      </c>
      <c r="F48" s="109">
        <v>16835.05</v>
      </c>
      <c r="G48" t="str">
        <v>95 uncommitted items</v>
      </c>
      <c r="H48" s="109">
        <v>15231538.530606141</v>
      </c>
      <c r="I48" s="109">
        <v>14823391.539178083</v>
      </c>
      <c r="J48" s="115">
        <v>407591.21060614503</v>
      </c>
    </row>
    <row r="49" spans="1:10" x14ac:dyDescent="0.25">
      <c r="A49" s="11" t="str">
        <v>Example Vendor 014</v>
      </c>
      <c r="B49" s="113" t="str">
        <v>Example Contract 014</v>
      </c>
      <c r="C49" s="109" t="str">
        <v>31-Jul-26</v>
      </c>
      <c r="D49" s="109">
        <v>18158.900000000001</v>
      </c>
      <c r="E49" s="109">
        <v>13921</v>
      </c>
      <c r="F49" s="109">
        <v>4237.9000000000015</v>
      </c>
      <c r="H49" s="109"/>
      <c r="I49" s="109"/>
      <c r="J49" s="115"/>
    </row>
    <row r="50" spans="1:10" x14ac:dyDescent="0.25">
      <c r="A50" s="11" t="str">
        <v>Example Vendor 015</v>
      </c>
      <c r="B50" s="113" t="str">
        <v>Example Contract 015</v>
      </c>
      <c r="C50" s="109" t="str">
        <v>06-Aug-26</v>
      </c>
      <c r="D50" s="109">
        <v>10897.62</v>
      </c>
      <c r="E50" s="109">
        <v>10897.62</v>
      </c>
      <c r="F50" s="109">
        <v>0</v>
      </c>
      <c r="H50" s="109"/>
      <c r="I50" s="109"/>
      <c r="J50" s="115"/>
    </row>
    <row r="51" spans="1:10" x14ac:dyDescent="0.25">
      <c r="A51" s="11" t="str">
        <v>Example Vendor 016</v>
      </c>
      <c r="B51" s="113" t="str">
        <v>Example Contract 016</v>
      </c>
      <c r="C51" s="109" t="str">
        <v>07-Aug-26</v>
      </c>
      <c r="D51" s="109">
        <v>354869.79</v>
      </c>
      <c r="E51" s="109">
        <v>166469</v>
      </c>
      <c r="F51" s="109">
        <v>188400.78999999998</v>
      </c>
      <c r="H51" s="109"/>
      <c r="I51" s="109"/>
      <c r="J51" s="115"/>
    </row>
    <row r="52" spans="1:10" x14ac:dyDescent="0.25">
      <c r="A52" s="11" t="str">
        <v>Example Vendor 017</v>
      </c>
      <c r="B52" s="113" t="str">
        <v>Example Contract 017</v>
      </c>
      <c r="C52" s="109" t="str">
        <v>21-Aug-26</v>
      </c>
      <c r="D52" s="109">
        <v>145598</v>
      </c>
      <c r="E52" s="109">
        <v>141000</v>
      </c>
      <c r="F52" s="109">
        <v>4598</v>
      </c>
      <c r="H52" s="109"/>
      <c r="I52" s="109"/>
      <c r="J52" s="115"/>
    </row>
    <row r="53" spans="1:10" x14ac:dyDescent="0.25">
      <c r="A53" s="11" t="str">
        <v>Example Vendor 020</v>
      </c>
      <c r="B53" s="113" t="str">
        <v>Example Contract 020</v>
      </c>
      <c r="C53" s="109" t="str">
        <v>30-Aug-26</v>
      </c>
      <c r="D53" s="109">
        <v>89342.25</v>
      </c>
      <c r="E53" s="109">
        <v>81676</v>
      </c>
      <c r="F53" s="109">
        <v>7666.25</v>
      </c>
      <c r="H53" s="109"/>
      <c r="I53" s="109"/>
      <c r="J53" s="115"/>
    </row>
    <row r="54" spans="1:10" x14ac:dyDescent="0.25">
      <c r="A54" s="11" t="str">
        <v>Example Vendor 021</v>
      </c>
      <c r="B54" s="113" t="str">
        <v>Example Contract 021</v>
      </c>
      <c r="C54" s="109" t="str">
        <v>31-Aug-26</v>
      </c>
      <c r="D54" s="109">
        <v>21602.37</v>
      </c>
      <c r="E54" s="109">
        <v>16705</v>
      </c>
      <c r="F54" s="109">
        <v>4897.369999999999</v>
      </c>
      <c r="H54" s="109"/>
      <c r="I54" s="109"/>
      <c r="J54" s="115"/>
    </row>
    <row r="55" spans="1:10" x14ac:dyDescent="0.25">
      <c r="A55" s="11" t="str">
        <v>Example Vendor 025</v>
      </c>
      <c r="B55" s="113" t="str">
        <v>Example Contract 025</v>
      </c>
      <c r="C55" s="109" t="str">
        <v>08-Sep-26</v>
      </c>
      <c r="D55" s="109">
        <v>6959.34</v>
      </c>
      <c r="E55" s="109">
        <v>6959.34</v>
      </c>
      <c r="F55" s="109">
        <v>0</v>
      </c>
      <c r="H55" s="109"/>
      <c r="I55" s="109"/>
      <c r="J55" s="115"/>
    </row>
    <row r="56" spans="1:10" x14ac:dyDescent="0.25">
      <c r="A56" s="11" t="str">
        <v>Example Vendor 026</v>
      </c>
      <c r="B56" s="113" t="str">
        <v>Example Contract 026</v>
      </c>
      <c r="C56" s="109" t="str">
        <v>11-Sep-26</v>
      </c>
      <c r="D56" s="109">
        <v>4000</v>
      </c>
      <c r="E56" s="109">
        <v>3928.96</v>
      </c>
      <c r="F56" s="109">
        <v>71.039999999999964</v>
      </c>
      <c r="H56" s="109"/>
      <c r="I56" s="109"/>
      <c r="J56" s="115"/>
    </row>
    <row r="57" spans="1:10" x14ac:dyDescent="0.25">
      <c r="A57" s="11" t="str">
        <v>Example Vendor 027</v>
      </c>
      <c r="B57" s="113" t="str">
        <v>Example Contract 027</v>
      </c>
      <c r="C57" s="109" t="str">
        <v>12-Sep-26</v>
      </c>
      <c r="D57" s="109">
        <v>3496.56</v>
      </c>
      <c r="E57" s="109">
        <v>0</v>
      </c>
      <c r="F57" s="109">
        <v>3496.56</v>
      </c>
      <c r="H57" s="109"/>
      <c r="I57" s="109"/>
      <c r="J57" s="115"/>
    </row>
    <row r="58" spans="1:10" x14ac:dyDescent="0.25">
      <c r="A58" s="11" t="str">
        <v>Example Vendor 027</v>
      </c>
      <c r="B58" s="113" t="str">
        <v>Example Contract 028</v>
      </c>
      <c r="C58" s="109" t="str">
        <v>12-Sep-26</v>
      </c>
      <c r="D58" s="109">
        <v>16764.09</v>
      </c>
      <c r="E58" s="109">
        <v>16764.09</v>
      </c>
      <c r="F58" s="109">
        <v>0</v>
      </c>
      <c r="H58" s="109"/>
      <c r="I58" s="109"/>
      <c r="J58" s="115"/>
    </row>
    <row r="59" spans="1:10" x14ac:dyDescent="0.25">
      <c r="A59" s="11" t="str">
        <v>Example Vendor 027</v>
      </c>
      <c r="B59" s="113" t="str">
        <v>Example Contract 030</v>
      </c>
      <c r="C59" s="109" t="str">
        <v>12-Sep-26</v>
      </c>
      <c r="D59" s="109">
        <v>20822.12</v>
      </c>
      <c r="E59" s="109">
        <v>20822.12</v>
      </c>
      <c r="F59" s="109">
        <v>0</v>
      </c>
      <c r="H59" s="109"/>
      <c r="I59" s="109"/>
      <c r="J59" s="115"/>
    </row>
    <row r="60" spans="1:10" x14ac:dyDescent="0.25">
      <c r="A60" s="11" t="str">
        <v>Example Vendor 029</v>
      </c>
      <c r="B60" s="113" t="str">
        <v>Example Contract 031</v>
      </c>
      <c r="C60" s="109" t="str">
        <v>30-Sep-26</v>
      </c>
      <c r="D60" s="109">
        <v>2116</v>
      </c>
      <c r="E60" s="109">
        <v>1709</v>
      </c>
      <c r="F60" s="109">
        <v>407</v>
      </c>
      <c r="H60" s="109"/>
      <c r="I60" s="109"/>
      <c r="J60" s="115"/>
    </row>
    <row r="61" spans="1:10" x14ac:dyDescent="0.25">
      <c r="A61" s="11" t="str">
        <v>Example Vendor 031</v>
      </c>
      <c r="B61" s="113" t="str">
        <v>Example Contract 033</v>
      </c>
      <c r="C61" s="109" t="str">
        <v>30-Sep-26</v>
      </c>
      <c r="D61" s="109">
        <v>83410.759999999995</v>
      </c>
      <c r="E61" s="109">
        <v>86000</v>
      </c>
      <c r="F61" s="109">
        <v>-2589.2400000000052</v>
      </c>
      <c r="H61" s="109"/>
      <c r="I61" s="109"/>
      <c r="J61" s="115"/>
    </row>
    <row r="62" spans="1:10" x14ac:dyDescent="0.25">
      <c r="A62" s="11" t="str">
        <v>Example Vendor 032</v>
      </c>
      <c r="B62" s="113" t="str">
        <v>Example Contract 034</v>
      </c>
      <c r="C62" s="109" t="str">
        <v>02-Oct-26</v>
      </c>
      <c r="D62" s="109">
        <v>29440</v>
      </c>
      <c r="E62" s="109">
        <v>35000</v>
      </c>
      <c r="F62" s="109">
        <v>-5560</v>
      </c>
      <c r="H62" s="109"/>
      <c r="I62" s="109"/>
      <c r="J62" s="115"/>
    </row>
    <row r="63" spans="1:10" x14ac:dyDescent="0.25">
      <c r="A63" s="11" t="str">
        <v>Example Vendor 033</v>
      </c>
      <c r="B63" s="113" t="str">
        <v>Example Contract 035</v>
      </c>
      <c r="C63" s="109" t="str">
        <v>03-Oct-26</v>
      </c>
      <c r="D63" s="109">
        <v>1771.24</v>
      </c>
      <c r="E63" s="109">
        <v>1771.24</v>
      </c>
      <c r="F63" s="109">
        <v>0</v>
      </c>
      <c r="H63" s="109"/>
      <c r="I63" s="109"/>
      <c r="J63" s="115"/>
    </row>
    <row r="64" spans="1:10" x14ac:dyDescent="0.25">
      <c r="A64" s="11" t="str">
        <v>Example Vendor 034</v>
      </c>
      <c r="B64" s="113" t="str">
        <v>Example Contract 036</v>
      </c>
      <c r="C64" s="109" t="str">
        <v>06-Oct-26</v>
      </c>
      <c r="D64" s="109">
        <v>12185.9</v>
      </c>
      <c r="E64" s="109">
        <v>6116</v>
      </c>
      <c r="F64" s="109">
        <v>6069.9</v>
      </c>
      <c r="H64" s="109"/>
      <c r="I64" s="109"/>
      <c r="J64" s="115"/>
    </row>
    <row r="65" spans="1:10" x14ac:dyDescent="0.25">
      <c r="A65" s="11" t="str">
        <v>Example Vendor 035</v>
      </c>
      <c r="B65" s="113" t="str">
        <v>Example Contract 037</v>
      </c>
      <c r="C65" s="109" t="str">
        <v>09-Oct-26</v>
      </c>
      <c r="D65" s="109">
        <v>2558.56</v>
      </c>
      <c r="E65" s="109">
        <v>2558.56</v>
      </c>
      <c r="F65" s="109">
        <v>0</v>
      </c>
      <c r="H65" s="109"/>
      <c r="I65" s="109"/>
      <c r="J65" s="115"/>
    </row>
    <row r="66" spans="1:10" x14ac:dyDescent="0.25">
      <c r="A66" s="11" t="str">
        <v>Example Vendor 037</v>
      </c>
      <c r="B66" s="113" t="str">
        <v>Example Contract 043</v>
      </c>
      <c r="C66" s="109" t="str">
        <v>02-Nov-26</v>
      </c>
      <c r="D66" s="109">
        <v>63000</v>
      </c>
      <c r="E66" s="109">
        <v>63000</v>
      </c>
      <c r="F66" s="109">
        <v>0</v>
      </c>
      <c r="H66" s="109"/>
      <c r="I66" s="109"/>
      <c r="J66" s="115"/>
    </row>
    <row r="67" spans="1:10" x14ac:dyDescent="0.25">
      <c r="A67" s="11" t="str">
        <v>Example Vendor 038</v>
      </c>
      <c r="B67" s="113" t="str">
        <v>Example Contract 044</v>
      </c>
      <c r="C67" s="109" t="str">
        <v>14-Nov-26</v>
      </c>
      <c r="D67" s="109">
        <v>62507</v>
      </c>
      <c r="E67" s="109">
        <v>62507</v>
      </c>
      <c r="F67" s="109">
        <v>0</v>
      </c>
      <c r="H67" s="109"/>
      <c r="I67" s="109"/>
      <c r="J67" s="115"/>
    </row>
    <row r="68" spans="1:10" x14ac:dyDescent="0.25">
      <c r="A68" s="11" t="str">
        <v>Example Vendor 039</v>
      </c>
      <c r="B68" s="113" t="str">
        <v>Example Contract 045</v>
      </c>
      <c r="C68" s="109" t="str">
        <v>28-Nov-26</v>
      </c>
      <c r="D68" s="109">
        <v>15442.02</v>
      </c>
      <c r="E68" s="109">
        <v>15442.02</v>
      </c>
      <c r="F68" s="109">
        <v>0</v>
      </c>
      <c r="H68" s="109"/>
      <c r="I68" s="109"/>
      <c r="J68" s="115"/>
    </row>
    <row r="69" spans="1:10" x14ac:dyDescent="0.25">
      <c r="A69" s="11" t="str">
        <v>Example Vendor 040</v>
      </c>
      <c r="B69" s="113" t="str">
        <v>Example Contract 046</v>
      </c>
      <c r="C69" s="109" t="str">
        <v>29-Nov-26</v>
      </c>
      <c r="D69" s="109">
        <v>22489.93</v>
      </c>
      <c r="E69" s="109">
        <v>22489.93</v>
      </c>
      <c r="F69" s="109">
        <v>0</v>
      </c>
      <c r="H69" s="109"/>
      <c r="I69" s="109"/>
      <c r="J69" s="115"/>
    </row>
    <row r="70" spans="1:10" x14ac:dyDescent="0.25">
      <c r="A70" s="11" t="str">
        <v>Example Vendor 042</v>
      </c>
      <c r="B70" s="113" t="str">
        <v>Example Contract 048</v>
      </c>
      <c r="C70" s="109" t="str">
        <v>30-Nov-26</v>
      </c>
      <c r="D70" s="109">
        <v>55533.21</v>
      </c>
      <c r="E70" s="109">
        <v>55533.21</v>
      </c>
      <c r="F70" s="109">
        <v>0</v>
      </c>
      <c r="H70" s="109"/>
      <c r="I70" s="109"/>
      <c r="J70" s="115"/>
    </row>
    <row r="71" spans="1:10" x14ac:dyDescent="0.25">
      <c r="A71" s="11" t="str">
        <v>Example Vendor 043</v>
      </c>
      <c r="B71" s="113" t="str">
        <v>Example Contract 049</v>
      </c>
      <c r="C71" s="109" t="str">
        <v>01-Dec-26</v>
      </c>
      <c r="D71" s="109">
        <v>44854.09</v>
      </c>
      <c r="E71" s="109">
        <v>44854.09</v>
      </c>
      <c r="F71" s="109">
        <v>0</v>
      </c>
      <c r="H71" s="109"/>
      <c r="I71" s="109"/>
      <c r="J71" s="115"/>
    </row>
    <row r="72" spans="1:10" x14ac:dyDescent="0.25">
      <c r="A72" s="11" t="str">
        <v>Example Vendor 044</v>
      </c>
      <c r="B72" s="113" t="str">
        <v>Example Contract 050</v>
      </c>
      <c r="C72" s="109" t="str">
        <v>04-Dec-26</v>
      </c>
      <c r="D72" s="109">
        <v>0</v>
      </c>
      <c r="E72" s="109">
        <v>142.4</v>
      </c>
      <c r="F72" s="109">
        <v>-142.4</v>
      </c>
      <c r="H72" s="109"/>
      <c r="I72" s="109"/>
      <c r="J72" s="115"/>
    </row>
    <row r="73" spans="1:10" x14ac:dyDescent="0.25">
      <c r="A73" s="11" t="str">
        <v>Example Vendor 045</v>
      </c>
      <c r="B73" s="113" t="str">
        <v>Example Contract 051</v>
      </c>
      <c r="C73" s="109" t="str">
        <v>08-Dec-26</v>
      </c>
      <c r="D73" s="109">
        <v>16000</v>
      </c>
      <c r="E73" s="109">
        <v>10780.5</v>
      </c>
      <c r="F73" s="109">
        <v>5219.5</v>
      </c>
      <c r="H73" s="109"/>
      <c r="I73" s="109"/>
      <c r="J73" s="115"/>
    </row>
    <row r="74" spans="1:10" x14ac:dyDescent="0.25">
      <c r="A74" s="11" t="str">
        <v>Example Vendor 046</v>
      </c>
      <c r="B74" s="113" t="str">
        <v>Example Contract 052</v>
      </c>
      <c r="C74" s="109" t="str">
        <v>08-Dec-26</v>
      </c>
      <c r="D74" s="109">
        <v>38169.86</v>
      </c>
      <c r="E74" s="109">
        <v>38169.86</v>
      </c>
      <c r="F74" s="109">
        <v>0</v>
      </c>
      <c r="H74" s="109"/>
      <c r="I74" s="109"/>
      <c r="J74" s="115"/>
    </row>
    <row r="75" spans="1:10" x14ac:dyDescent="0.25">
      <c r="A75" s="11" t="str">
        <v>Example Vendor 047</v>
      </c>
      <c r="B75" s="113" t="str">
        <v>Example Contract 053</v>
      </c>
      <c r="C75" s="109" t="str">
        <v>12-Dec-26</v>
      </c>
      <c r="D75" s="109">
        <v>72737.119999999995</v>
      </c>
      <c r="E75" s="109">
        <v>72737.119999999995</v>
      </c>
      <c r="F75" s="109">
        <v>0</v>
      </c>
      <c r="H75" s="109"/>
      <c r="I75" s="109"/>
      <c r="J75" s="115"/>
    </row>
    <row r="76" spans="1:10" x14ac:dyDescent="0.25">
      <c r="A76" s="11" t="str">
        <v>Example Vendor 048</v>
      </c>
      <c r="B76" s="113" t="str">
        <v>Example Contract 054</v>
      </c>
      <c r="C76" s="109" t="str">
        <v>15-Dec-26</v>
      </c>
      <c r="D76" s="109">
        <v>7767.45</v>
      </c>
      <c r="E76" s="109">
        <v>6000</v>
      </c>
      <c r="F76" s="109">
        <v>1767.4499999999998</v>
      </c>
      <c r="H76" s="109"/>
      <c r="I76" s="109"/>
      <c r="J76" s="115"/>
    </row>
    <row r="77" spans="1:10" x14ac:dyDescent="0.25">
      <c r="A77" s="11" t="str">
        <v>Example Vendor 034</v>
      </c>
      <c r="B77" s="113" t="str">
        <v>Example Contract 060</v>
      </c>
      <c r="C77" s="109" t="str">
        <v>16-Dec-26</v>
      </c>
      <c r="D77" s="109">
        <v>513</v>
      </c>
      <c r="E77" s="109">
        <v>513</v>
      </c>
      <c r="F77" s="109">
        <v>0</v>
      </c>
      <c r="H77" s="109"/>
      <c r="I77" s="109"/>
      <c r="J77" s="115"/>
    </row>
    <row r="78" spans="1:10" x14ac:dyDescent="0.25">
      <c r="A78" s="11" t="str">
        <v>Example Vendor 053</v>
      </c>
      <c r="B78" s="113" t="str">
        <v>Example Contract 061</v>
      </c>
      <c r="C78" s="109" t="str">
        <v>17-Dec-26</v>
      </c>
      <c r="D78" s="109">
        <v>83640.899999999994</v>
      </c>
      <c r="E78" s="109">
        <v>83640.899999999994</v>
      </c>
      <c r="F78" s="109">
        <v>0</v>
      </c>
      <c r="H78" s="109"/>
      <c r="I78" s="109"/>
      <c r="J78" s="115"/>
    </row>
    <row r="79" spans="1:10" x14ac:dyDescent="0.25">
      <c r="A79" s="11" t="str">
        <v>Example Vendor 055</v>
      </c>
      <c r="B79" s="113" t="str">
        <v>Example Contract 063</v>
      </c>
      <c r="C79" s="109" t="str">
        <v>22-Dec-26</v>
      </c>
      <c r="D79" s="109">
        <v>819389.08</v>
      </c>
      <c r="E79" s="109">
        <v>819389.08</v>
      </c>
      <c r="F79" s="109">
        <v>0</v>
      </c>
      <c r="H79" s="109"/>
      <c r="I79" s="109"/>
      <c r="J79" s="115"/>
    </row>
    <row r="80" spans="1:10" x14ac:dyDescent="0.25">
      <c r="A80" s="11" t="str">
        <v>Example Vendor 055</v>
      </c>
      <c r="B80" s="113" t="str">
        <v>Example Contract 064</v>
      </c>
      <c r="C80" s="109" t="str">
        <v>22-Dec-26</v>
      </c>
      <c r="D80" s="109">
        <v>114542.94</v>
      </c>
      <c r="E80" s="109">
        <v>144542.94</v>
      </c>
      <c r="F80" s="109">
        <v>-30000</v>
      </c>
      <c r="H80" s="109"/>
      <c r="I80" s="109"/>
      <c r="J80" s="115"/>
    </row>
    <row r="81" spans="1:10" x14ac:dyDescent="0.25">
      <c r="A81" s="11" t="str">
        <v>Example Vendor 056</v>
      </c>
      <c r="B81" s="113" t="str">
        <v>Example Contract 065</v>
      </c>
      <c r="C81" s="109" t="str">
        <v>31-Dec-26</v>
      </c>
      <c r="D81" s="109">
        <v>1806000</v>
      </c>
      <c r="E81" s="109">
        <v>1806000</v>
      </c>
      <c r="F81" s="109">
        <v>0</v>
      </c>
      <c r="H81" s="109"/>
      <c r="I81" s="109"/>
      <c r="J81" s="115"/>
    </row>
    <row r="82" spans="1:10" x14ac:dyDescent="0.25">
      <c r="A82" s="11" t="str">
        <v>Example Vendor 056</v>
      </c>
      <c r="B82" s="113" t="str">
        <v>Example Contract 072</v>
      </c>
      <c r="C82" s="109" t="str">
        <v>31-Dec-26</v>
      </c>
      <c r="D82" s="109">
        <v>76651.436663362634</v>
      </c>
      <c r="E82" s="109">
        <v>0</v>
      </c>
      <c r="F82" s="109">
        <v>76651.436663362634</v>
      </c>
      <c r="H82" s="109"/>
      <c r="I82" s="109"/>
      <c r="J82" s="115"/>
    </row>
    <row r="83" spans="1:10" x14ac:dyDescent="0.25">
      <c r="A83" s="11" t="str">
        <v>Example Vendor 057</v>
      </c>
      <c r="B83" s="113" t="str">
        <v>Example Contract 073</v>
      </c>
      <c r="C83" s="109" t="str">
        <v>31-Dec-26</v>
      </c>
      <c r="D83" s="109">
        <v>74680.820000000007</v>
      </c>
      <c r="E83" s="109">
        <v>74680.820000000007</v>
      </c>
      <c r="F83" s="109">
        <v>0</v>
      </c>
      <c r="H83" s="109"/>
      <c r="I83" s="109"/>
      <c r="J83" s="115"/>
    </row>
    <row r="84" spans="1:10" x14ac:dyDescent="0.25">
      <c r="A84" s="11" t="str">
        <v>Example Vendor 058</v>
      </c>
      <c r="B84" s="113" t="str">
        <v>Example Contract 074</v>
      </c>
      <c r="C84" s="109" t="str">
        <v>31-Dec-26</v>
      </c>
      <c r="D84" s="109">
        <v>24773.62</v>
      </c>
      <c r="E84" s="109">
        <v>13440</v>
      </c>
      <c r="F84" s="109">
        <v>11333.619999999999</v>
      </c>
      <c r="H84" s="109"/>
      <c r="I84" s="109"/>
      <c r="J84" s="115"/>
    </row>
    <row r="85" spans="1:10" x14ac:dyDescent="0.25">
      <c r="A85" s="11" t="str">
        <v>Example Vendor 046</v>
      </c>
      <c r="B85" s="113" t="str">
        <v>Example Contract 075</v>
      </c>
      <c r="C85" s="109" t="str">
        <v>31-Dec-26</v>
      </c>
      <c r="D85" s="109">
        <v>10185</v>
      </c>
      <c r="E85" s="109">
        <v>0</v>
      </c>
      <c r="F85" s="109">
        <v>10185</v>
      </c>
      <c r="H85" s="109"/>
      <c r="I85" s="109"/>
      <c r="J85" s="115"/>
    </row>
    <row r="86" spans="1:10" x14ac:dyDescent="0.25">
      <c r="A86" s="11" t="str">
        <v>Example Vendor 059</v>
      </c>
      <c r="B86" s="113" t="str">
        <v>Example Contract 077</v>
      </c>
      <c r="C86" s="109" t="str">
        <v>05-Jan-27</v>
      </c>
      <c r="D86" s="109">
        <v>836817.43</v>
      </c>
      <c r="E86" s="109">
        <v>836817.43</v>
      </c>
      <c r="F86" s="109">
        <v>0</v>
      </c>
      <c r="H86" s="109"/>
      <c r="I86" s="109"/>
      <c r="J86" s="115"/>
    </row>
    <row r="87" spans="1:10" x14ac:dyDescent="0.25">
      <c r="A87" s="11" t="str">
        <v>Example Vendor 060</v>
      </c>
      <c r="B87" s="113" t="str">
        <v>Example Contract 078</v>
      </c>
      <c r="C87" s="109" t="str">
        <v>14-Jan-27</v>
      </c>
      <c r="D87" s="109">
        <v>43880.53</v>
      </c>
      <c r="E87" s="109">
        <v>43880.53</v>
      </c>
      <c r="F87" s="109">
        <v>0</v>
      </c>
      <c r="H87" s="109"/>
      <c r="I87" s="109"/>
      <c r="J87" s="115"/>
    </row>
    <row r="88" spans="1:10" x14ac:dyDescent="0.25">
      <c r="A88" s="11" t="str">
        <v>Example Vendor 061</v>
      </c>
      <c r="B88" s="113" t="str">
        <v>Example Contract 079</v>
      </c>
      <c r="C88" s="109" t="str">
        <v>14-Jan-27</v>
      </c>
      <c r="D88" s="109">
        <v>678.87</v>
      </c>
      <c r="E88" s="109">
        <v>678.87</v>
      </c>
      <c r="F88" s="109">
        <v>0</v>
      </c>
      <c r="H88" s="109"/>
      <c r="I88" s="109"/>
      <c r="J88" s="115"/>
    </row>
    <row r="89" spans="1:10" x14ac:dyDescent="0.25">
      <c r="A89" s="11" t="str">
        <v>Example Vendor 062</v>
      </c>
      <c r="B89" s="113" t="str">
        <v>Example Contract 080</v>
      </c>
      <c r="C89" s="109" t="str">
        <v>19-Jan-27</v>
      </c>
      <c r="D89" s="109">
        <v>2474.14</v>
      </c>
      <c r="E89" s="109">
        <v>2474.14</v>
      </c>
      <c r="F89" s="109">
        <v>0</v>
      </c>
      <c r="H89" s="109"/>
      <c r="I89" s="109"/>
      <c r="J89" s="115"/>
    </row>
    <row r="90" spans="1:10" x14ac:dyDescent="0.25">
      <c r="A90" s="11" t="str">
        <v>Example Vendor 054</v>
      </c>
      <c r="B90" s="113" t="str">
        <v>Example Contract 082</v>
      </c>
      <c r="C90" s="109" t="str">
        <v>20-Jan-27</v>
      </c>
      <c r="D90" s="109">
        <v>0</v>
      </c>
      <c r="E90" s="109">
        <v>0</v>
      </c>
      <c r="F90" s="109">
        <v>0</v>
      </c>
      <c r="H90" s="109"/>
      <c r="I90" s="109"/>
      <c r="J90" s="115"/>
    </row>
    <row r="91" spans="1:10" x14ac:dyDescent="0.25">
      <c r="A91" s="11" t="str">
        <v>Example Vendor 033</v>
      </c>
      <c r="B91" s="113" t="str">
        <v>Example Contract 083</v>
      </c>
      <c r="C91" s="109" t="str">
        <v>20-Jan-27</v>
      </c>
      <c r="D91" s="109">
        <v>1788.49</v>
      </c>
      <c r="E91" s="109">
        <v>1788.49</v>
      </c>
      <c r="F91" s="109">
        <v>0</v>
      </c>
      <c r="H91" s="109"/>
      <c r="I91" s="109"/>
      <c r="J91" s="115"/>
    </row>
    <row r="92" spans="1:10" x14ac:dyDescent="0.25">
      <c r="A92" s="11" t="str">
        <v>Example Vendor 066</v>
      </c>
      <c r="B92" s="113" t="str">
        <v>Example Contract 086</v>
      </c>
      <c r="C92" s="109" t="str">
        <v>21-Jan-27</v>
      </c>
      <c r="D92" s="109">
        <v>85828.33</v>
      </c>
      <c r="E92" s="109">
        <v>85828.33</v>
      </c>
      <c r="F92" s="109">
        <v>0</v>
      </c>
      <c r="H92" s="109"/>
      <c r="I92" s="109"/>
      <c r="J92" s="115"/>
    </row>
    <row r="93" spans="1:10" x14ac:dyDescent="0.25">
      <c r="A93" s="11" t="str">
        <v>Example Vendor 068</v>
      </c>
      <c r="B93" s="113" t="str">
        <v>Example Contract 088</v>
      </c>
      <c r="C93" s="109" t="str">
        <v>25-Jan-27</v>
      </c>
      <c r="D93" s="109">
        <v>420</v>
      </c>
      <c r="E93" s="109">
        <v>179.50684931506851</v>
      </c>
      <c r="F93" s="109">
        <v>0</v>
      </c>
      <c r="H93" s="109"/>
      <c r="I93" s="109"/>
      <c r="J93" s="115"/>
    </row>
    <row r="94" spans="1:10" x14ac:dyDescent="0.25">
      <c r="A94" s="11" t="str">
        <v>Example Vendor 069</v>
      </c>
      <c r="B94" s="113" t="str">
        <v>Example Contract 089</v>
      </c>
      <c r="C94" s="109" t="str">
        <v>22-Feb-27</v>
      </c>
      <c r="D94" s="109">
        <v>8702</v>
      </c>
      <c r="E94" s="109">
        <v>8702</v>
      </c>
      <c r="F94" s="109">
        <v>0</v>
      </c>
      <c r="H94" s="109"/>
      <c r="I94" s="109"/>
      <c r="J94" s="115"/>
    </row>
    <row r="95" spans="1:10" x14ac:dyDescent="0.25">
      <c r="A95" s="11" t="str">
        <v>Example Vendor 071</v>
      </c>
      <c r="B95" s="113" t="str">
        <v>Example Contract 103</v>
      </c>
      <c r="C95" s="109" t="str">
        <v>09-Mar-27</v>
      </c>
      <c r="D95" s="109">
        <v>3088.36</v>
      </c>
      <c r="E95" s="109">
        <v>0</v>
      </c>
      <c r="F95" s="109">
        <v>3088.36</v>
      </c>
      <c r="H95" s="109"/>
      <c r="I95" s="109"/>
      <c r="J95" s="115"/>
    </row>
    <row r="96" spans="1:10" x14ac:dyDescent="0.25">
      <c r="A96" s="11" t="str">
        <v>Example Vendor 072</v>
      </c>
      <c r="B96" s="113" t="str">
        <v>Example Contract 104</v>
      </c>
      <c r="C96" s="109" t="str">
        <v>12-Mar-27</v>
      </c>
      <c r="D96" s="109">
        <v>500</v>
      </c>
      <c r="E96" s="109">
        <v>880</v>
      </c>
      <c r="F96" s="109">
        <v>-380</v>
      </c>
      <c r="H96" s="109"/>
      <c r="I96" s="109"/>
      <c r="J96" s="115"/>
    </row>
    <row r="97" spans="1:10" x14ac:dyDescent="0.25">
      <c r="A97" s="11" t="str">
        <v>Example Vendor 073</v>
      </c>
      <c r="B97" s="113" t="str">
        <v>Example Contract 105</v>
      </c>
      <c r="C97" s="109" t="str">
        <v>16-Mar-27</v>
      </c>
      <c r="D97" s="109">
        <v>75140.08</v>
      </c>
      <c r="E97" s="109">
        <v>75140.08</v>
      </c>
      <c r="F97" s="109">
        <v>0</v>
      </c>
      <c r="H97" s="109"/>
      <c r="I97" s="109"/>
      <c r="J97" s="115"/>
    </row>
    <row r="98" spans="1:10" x14ac:dyDescent="0.25">
      <c r="A98" s="11" t="str">
        <v>Example Vendor 077</v>
      </c>
      <c r="B98" s="113" t="str">
        <v>Example Contract 109</v>
      </c>
      <c r="C98" s="109" t="str">
        <v>30-Mar-27</v>
      </c>
      <c r="D98" s="109">
        <v>116104.27</v>
      </c>
      <c r="E98" s="109">
        <v>116104.27</v>
      </c>
      <c r="F98" s="109">
        <v>0</v>
      </c>
      <c r="H98" s="109"/>
      <c r="I98" s="109"/>
      <c r="J98" s="115"/>
    </row>
    <row r="99" spans="1:10" x14ac:dyDescent="0.25">
      <c r="A99" s="11" t="str">
        <v>Example Vendor 068</v>
      </c>
      <c r="B99" s="113" t="str">
        <v>Example Contract 111</v>
      </c>
      <c r="C99" s="109" t="str">
        <v>31-Mar-27</v>
      </c>
      <c r="D99" s="109">
        <v>420</v>
      </c>
      <c r="E99" s="109">
        <v>104.7123287671233</v>
      </c>
      <c r="F99" s="109">
        <v>0</v>
      </c>
      <c r="H99" s="109"/>
      <c r="I99" s="109"/>
      <c r="J99" s="115"/>
    </row>
    <row r="100" spans="1:10" x14ac:dyDescent="0.25">
      <c r="A100" s="11" t="str">
        <v>Example Vendor 081</v>
      </c>
      <c r="B100" s="113" t="str">
        <v>Example Contract 114</v>
      </c>
      <c r="C100" s="109" t="str">
        <v>03-Apr-27</v>
      </c>
      <c r="D100" s="109">
        <v>40335.339999999997</v>
      </c>
      <c r="E100" s="109">
        <v>40335.339999999997</v>
      </c>
      <c r="F100" s="109">
        <v>0</v>
      </c>
      <c r="H100" s="109"/>
      <c r="I100" s="109"/>
      <c r="J100" s="115"/>
    </row>
    <row r="101" spans="1:10" x14ac:dyDescent="0.25">
      <c r="A101" s="11" t="str">
        <v>Example Vendor 082</v>
      </c>
      <c r="B101" s="113" t="str">
        <v>Example Contract 115</v>
      </c>
      <c r="C101" s="109" t="str">
        <v>20-Apr-27</v>
      </c>
      <c r="D101" s="109">
        <v>24960</v>
      </c>
      <c r="E101" s="109">
        <v>24960</v>
      </c>
      <c r="F101" s="109">
        <v>0</v>
      </c>
      <c r="H101" s="109"/>
      <c r="I101" s="109"/>
      <c r="J101" s="115"/>
    </row>
    <row r="102" spans="1:10" x14ac:dyDescent="0.25">
      <c r="A102" s="11" t="str">
        <v>Example Vendor 083</v>
      </c>
      <c r="B102" s="113" t="str">
        <v>Example Contract 116</v>
      </c>
      <c r="C102" s="109" t="str">
        <v>27-Apr-27</v>
      </c>
      <c r="D102" s="109">
        <v>23040</v>
      </c>
      <c r="E102" s="109">
        <v>23040</v>
      </c>
      <c r="F102" s="109">
        <v>0</v>
      </c>
      <c r="H102" s="109"/>
      <c r="I102" s="109"/>
      <c r="J102" s="115"/>
    </row>
    <row r="103" spans="1:10" x14ac:dyDescent="0.25">
      <c r="A103" s="11" t="str">
        <v>Example Vendor 085</v>
      </c>
      <c r="B103" s="113" t="str">
        <v>Example Contract 118</v>
      </c>
      <c r="C103" s="109" t="str">
        <v>30-Apr-27</v>
      </c>
      <c r="D103" s="109">
        <v>50400</v>
      </c>
      <c r="E103" s="109">
        <v>30518.48</v>
      </c>
      <c r="F103" s="109">
        <v>19881.52</v>
      </c>
      <c r="H103" s="109"/>
      <c r="I103" s="109"/>
      <c r="J103" s="115"/>
    </row>
    <row r="104" spans="1:10" x14ac:dyDescent="0.25">
      <c r="A104" s="11" t="str">
        <v>Example Vendor 089</v>
      </c>
      <c r="B104" s="113" t="str">
        <v>Example Contract 122</v>
      </c>
      <c r="C104" s="109" t="str">
        <v>30-Apr-27</v>
      </c>
      <c r="D104" s="109">
        <v>52500</v>
      </c>
      <c r="E104" s="109">
        <v>52500</v>
      </c>
      <c r="F104" s="109">
        <v>0</v>
      </c>
      <c r="H104" s="109"/>
      <c r="I104" s="109"/>
      <c r="J104" s="115"/>
    </row>
    <row r="105" spans="1:10" x14ac:dyDescent="0.25">
      <c r="A105" s="11" t="str">
        <v>Example Vendor 091</v>
      </c>
      <c r="B105" s="113" t="str">
        <v>Example Contract 124</v>
      </c>
      <c r="C105" s="109" t="str">
        <v>04-May-27</v>
      </c>
      <c r="D105" s="109">
        <v>13600</v>
      </c>
      <c r="E105" s="109">
        <v>13600</v>
      </c>
      <c r="F105" s="109">
        <v>0</v>
      </c>
      <c r="H105" s="109"/>
      <c r="I105" s="109"/>
      <c r="J105" s="115"/>
    </row>
    <row r="106" spans="1:10" x14ac:dyDescent="0.25">
      <c r="A106" s="11" t="str">
        <v>Example Vendor 092</v>
      </c>
      <c r="B106" s="113" t="str">
        <v>Example Contract 125</v>
      </c>
      <c r="C106" s="109" t="str">
        <v>09-May-27</v>
      </c>
      <c r="D106" s="109">
        <v>0</v>
      </c>
      <c r="E106" s="109">
        <v>691.2</v>
      </c>
      <c r="F106" s="109">
        <v>-691.2</v>
      </c>
      <c r="H106" s="109"/>
      <c r="I106" s="109"/>
      <c r="J106" s="115"/>
    </row>
    <row r="107" spans="1:10" x14ac:dyDescent="0.25">
      <c r="A107" s="11" t="str">
        <v>Example Vendor 094</v>
      </c>
      <c r="B107" s="113" t="str">
        <v>Example Contract 127</v>
      </c>
      <c r="C107" s="109" t="str">
        <v>13-May-27</v>
      </c>
      <c r="D107" s="109">
        <v>0</v>
      </c>
      <c r="E107" s="109">
        <v>162.13999999999999</v>
      </c>
      <c r="F107" s="109">
        <v>-162.13999999999999</v>
      </c>
      <c r="H107" s="109"/>
      <c r="I107" s="109"/>
      <c r="J107" s="115"/>
    </row>
    <row r="108" spans="1:10" x14ac:dyDescent="0.25">
      <c r="A108" s="11" t="str">
        <v>Example Vendor 032</v>
      </c>
      <c r="B108" s="113" t="str">
        <v>Example Contract 128</v>
      </c>
      <c r="C108" s="109" t="str">
        <v>17-May-27</v>
      </c>
      <c r="D108" s="109">
        <v>158909.97</v>
      </c>
      <c r="E108" s="109">
        <v>158909.97</v>
      </c>
      <c r="F108" s="109">
        <v>0</v>
      </c>
      <c r="H108" s="109"/>
      <c r="I108" s="109"/>
      <c r="J108" s="115"/>
    </row>
    <row r="109" spans="1:10" x14ac:dyDescent="0.25">
      <c r="A109" s="11" t="str">
        <v>Example Vendor 032</v>
      </c>
      <c r="B109" s="113" t="str">
        <v>Example Contract 129</v>
      </c>
      <c r="C109" s="109" t="str">
        <v>17-May-27</v>
      </c>
      <c r="D109" s="109">
        <v>566888.67000000004</v>
      </c>
      <c r="E109" s="109">
        <v>566888.67000000004</v>
      </c>
      <c r="F109" s="109">
        <v>0</v>
      </c>
      <c r="H109" s="109"/>
      <c r="I109" s="109"/>
      <c r="J109" s="115"/>
    </row>
    <row r="110" spans="1:10" x14ac:dyDescent="0.25">
      <c r="A110" s="11" t="str">
        <v>Example Vendor 096</v>
      </c>
      <c r="B110" s="113" t="str">
        <v>Example Contract 131</v>
      </c>
      <c r="C110" s="109" t="str">
        <v>21-May-27</v>
      </c>
      <c r="D110" s="109">
        <v>41901.42</v>
      </c>
      <c r="E110" s="109">
        <v>41901.42</v>
      </c>
      <c r="F110" s="109">
        <v>0</v>
      </c>
      <c r="H110" s="109"/>
      <c r="I110" s="109"/>
      <c r="J110" s="115"/>
    </row>
    <row r="111" spans="1:10" x14ac:dyDescent="0.25">
      <c r="A111" s="11" t="str">
        <v>Example Vendor 097</v>
      </c>
      <c r="B111" s="113" t="str">
        <v>Example Contract 132</v>
      </c>
      <c r="C111" s="109" t="str">
        <v>31-May-27</v>
      </c>
      <c r="D111" s="109">
        <v>131371.72</v>
      </c>
      <c r="E111" s="109">
        <v>131371.72</v>
      </c>
      <c r="F111" s="109">
        <v>0</v>
      </c>
      <c r="H111" s="109"/>
      <c r="I111" s="109"/>
      <c r="J111" s="115"/>
    </row>
    <row r="112" spans="1:10" x14ac:dyDescent="0.25">
      <c r="A112" s="11" t="str">
        <v>Example Vendor 098</v>
      </c>
      <c r="B112" s="113" t="str">
        <v>Example Contract 133</v>
      </c>
      <c r="C112" s="109" t="str">
        <v>01-Jun-27</v>
      </c>
      <c r="D112" s="109">
        <v>45000</v>
      </c>
      <c r="E112" s="109">
        <v>16000</v>
      </c>
      <c r="F112" s="109">
        <v>29000</v>
      </c>
      <c r="H112" s="109"/>
      <c r="I112" s="109"/>
      <c r="J112" s="115"/>
    </row>
    <row r="113" spans="1:10" x14ac:dyDescent="0.25">
      <c r="A113" s="11" t="str">
        <v>Example Vendor 099</v>
      </c>
      <c r="B113" s="113" t="str">
        <v>Example Contract 134</v>
      </c>
      <c r="C113" s="109" t="str">
        <v>02-Jun-27</v>
      </c>
      <c r="D113" s="109">
        <v>16929.2</v>
      </c>
      <c r="E113" s="109">
        <v>16929.2</v>
      </c>
      <c r="F113" s="109">
        <v>0</v>
      </c>
      <c r="H113" s="109"/>
      <c r="I113" s="109"/>
      <c r="J113" s="115"/>
    </row>
    <row r="114" spans="1:10" x14ac:dyDescent="0.25">
      <c r="A114" s="11" t="str">
        <v>Example Vendor 100</v>
      </c>
      <c r="B114" s="113" t="str">
        <v>Example Contract 135</v>
      </c>
      <c r="C114" s="109" t="str">
        <v>04-Jun-27</v>
      </c>
      <c r="D114" s="109">
        <v>86189.59</v>
      </c>
      <c r="E114" s="109">
        <v>86189.59</v>
      </c>
      <c r="F114" s="109">
        <v>0</v>
      </c>
      <c r="H114" s="109"/>
      <c r="I114" s="109"/>
      <c r="J114" s="115"/>
    </row>
    <row r="115" spans="1:10" x14ac:dyDescent="0.25">
      <c r="A115" s="11" t="str">
        <v>Example Vendor 101</v>
      </c>
      <c r="B115" s="113" t="str">
        <v>Example Contract 136</v>
      </c>
      <c r="C115" s="109" t="str">
        <v>11-Jun-27</v>
      </c>
      <c r="D115" s="109">
        <v>0</v>
      </c>
      <c r="E115" s="109">
        <v>0</v>
      </c>
      <c r="F115" s="109">
        <v>0</v>
      </c>
      <c r="H115" s="109"/>
      <c r="I115" s="109"/>
      <c r="J115" s="115"/>
    </row>
    <row r="116" spans="1:10" x14ac:dyDescent="0.25">
      <c r="A116" s="11" t="str">
        <v>Example Vendor 102</v>
      </c>
      <c r="B116" s="113" t="str">
        <v>Example Contract 137</v>
      </c>
      <c r="C116" s="109" t="str">
        <v>30-Jun-27</v>
      </c>
      <c r="D116" s="109">
        <v>20000</v>
      </c>
      <c r="E116" s="109">
        <v>60752</v>
      </c>
      <c r="F116" s="109">
        <v>-40752</v>
      </c>
      <c r="H116" s="109"/>
      <c r="I116" s="109"/>
      <c r="J116" s="115"/>
    </row>
    <row r="117" spans="1:10" x14ac:dyDescent="0.25">
      <c r="A117" s="11" t="str">
        <v>Example Vendor 027</v>
      </c>
      <c r="B117" s="113" t="str">
        <v>Example Contract 040</v>
      </c>
      <c r="C117" s="109">
        <v>0</v>
      </c>
      <c r="D117" s="109">
        <v>9951.6940273972614</v>
      </c>
      <c r="E117" s="109">
        <v>0</v>
      </c>
      <c r="F117" s="109">
        <v>9951.6940273972614</v>
      </c>
      <c r="H117" s="109"/>
      <c r="I117" s="109"/>
      <c r="J117" s="115"/>
    </row>
    <row r="118" spans="1:10" x14ac:dyDescent="0.25">
      <c r="A118" s="11" t="str">
        <v>Example Vendor 027</v>
      </c>
      <c r="B118" s="113" t="str">
        <v>Example Contract 041</v>
      </c>
      <c r="C118" s="109">
        <v>0</v>
      </c>
      <c r="D118" s="109">
        <v>5359.7357876712331</v>
      </c>
      <c r="E118" s="109">
        <v>0</v>
      </c>
      <c r="F118" s="109">
        <v>5359.7357876712331</v>
      </c>
      <c r="H118" s="109"/>
      <c r="I118" s="109"/>
      <c r="J118" s="115"/>
    </row>
    <row r="119" spans="1:10" x14ac:dyDescent="0.25">
      <c r="A119" s="11" t="str">
        <v>Example Vendor 026</v>
      </c>
      <c r="B119" s="113" t="str">
        <v>Example Contract 066</v>
      </c>
      <c r="C119" s="109">
        <v>0</v>
      </c>
      <c r="D119" s="109">
        <v>113147.99999999999</v>
      </c>
      <c r="E119" s="109">
        <v>113148</v>
      </c>
      <c r="F119" s="109">
        <v>0</v>
      </c>
      <c r="H119" s="109"/>
      <c r="I119" s="109"/>
      <c r="J119" s="115"/>
    </row>
    <row r="120" spans="1:10" x14ac:dyDescent="0.25">
      <c r="A120" s="11" t="str">
        <v>Example Vendor 026</v>
      </c>
      <c r="B120" s="113" t="str">
        <v>Example Contract 067</v>
      </c>
      <c r="C120" s="109">
        <v>0</v>
      </c>
      <c r="D120" s="109">
        <v>66087.33</v>
      </c>
      <c r="E120" s="109">
        <v>66087.33</v>
      </c>
      <c r="F120" s="109">
        <v>0</v>
      </c>
      <c r="H120" s="109"/>
      <c r="I120" s="109"/>
      <c r="J120" s="115"/>
    </row>
    <row r="121" spans="1:10" x14ac:dyDescent="0.25">
      <c r="A121" s="11" t="str">
        <v>Example Vendor 026</v>
      </c>
      <c r="B121" s="113" t="str">
        <v>Example Contract 068</v>
      </c>
      <c r="C121" s="109">
        <v>0</v>
      </c>
      <c r="D121" s="109">
        <v>105300</v>
      </c>
      <c r="E121" s="109">
        <v>105300</v>
      </c>
      <c r="F121" s="109">
        <v>0</v>
      </c>
      <c r="H121" s="109"/>
      <c r="I121" s="109"/>
      <c r="J121" s="115"/>
    </row>
    <row r="122" spans="1:10" x14ac:dyDescent="0.25">
      <c r="A122" s="11" t="str">
        <v>Example Vendor 026</v>
      </c>
      <c r="B122" s="113" t="str">
        <v>Example Contract 069</v>
      </c>
      <c r="C122" s="109">
        <v>0</v>
      </c>
      <c r="D122" s="109">
        <v>32601.599999999995</v>
      </c>
      <c r="E122" s="109">
        <v>32601.599999999999</v>
      </c>
      <c r="F122" s="109">
        <v>0</v>
      </c>
      <c r="H122" s="109"/>
      <c r="I122" s="109"/>
      <c r="J122" s="115"/>
    </row>
    <row r="123" spans="1:10" x14ac:dyDescent="0.25">
      <c r="A123" s="11" t="str">
        <v>Example Vendor 026</v>
      </c>
      <c r="B123" s="113" t="str">
        <v>Example Contract 070</v>
      </c>
      <c r="C123" s="109">
        <v>0</v>
      </c>
      <c r="D123" s="109">
        <v>93340.799999999988</v>
      </c>
      <c r="E123" s="109">
        <v>93340.800000000003</v>
      </c>
      <c r="F123" s="109">
        <v>0</v>
      </c>
      <c r="H123" s="109"/>
      <c r="I123" s="109"/>
      <c r="J123" s="115"/>
    </row>
    <row r="124" spans="1:10" x14ac:dyDescent="0.25">
      <c r="A124" s="11" t="str">
        <v>Example Vendor 026</v>
      </c>
      <c r="B124" s="113" t="str">
        <v>Example Contract 071</v>
      </c>
      <c r="C124" s="109">
        <v>0</v>
      </c>
      <c r="D124" s="109">
        <v>0</v>
      </c>
      <c r="E124" s="109">
        <v>0</v>
      </c>
      <c r="F124" s="109">
        <v>0</v>
      </c>
      <c r="H124" s="109"/>
      <c r="I124" s="109"/>
      <c r="J124" s="115"/>
    </row>
    <row r="125" spans="1:10" x14ac:dyDescent="0.25">
      <c r="A125" s="11" t="str">
        <v>Example Vendor 070</v>
      </c>
      <c r="B125" s="113" t="str">
        <v>Example Contract 090</v>
      </c>
      <c r="C125" s="109">
        <v>0</v>
      </c>
      <c r="D125" s="109">
        <v>243750.00000000003</v>
      </c>
      <c r="E125" s="109">
        <v>0</v>
      </c>
      <c r="F125" s="109">
        <v>243750.00000000003</v>
      </c>
      <c r="H125" s="109"/>
      <c r="I125" s="109"/>
      <c r="J125" s="115"/>
    </row>
    <row r="126" spans="1:10" x14ac:dyDescent="0.25">
      <c r="A126" s="11" t="str">
        <v>Example Vendor 070</v>
      </c>
      <c r="B126" s="113" t="str">
        <v>Example Contract 091</v>
      </c>
      <c r="C126" s="109">
        <v>0</v>
      </c>
      <c r="D126" s="109">
        <v>121394.15999999997</v>
      </c>
      <c r="E126" s="109">
        <v>121394.16</v>
      </c>
      <c r="F126" s="109">
        <v>0</v>
      </c>
      <c r="H126" s="109"/>
      <c r="I126" s="109"/>
      <c r="J126" s="115"/>
    </row>
    <row r="127" spans="1:10" x14ac:dyDescent="0.25">
      <c r="A127" s="11" t="str">
        <v>Example Vendor 070</v>
      </c>
      <c r="B127" s="113" t="str">
        <v>Example Contract 092</v>
      </c>
      <c r="C127" s="109">
        <v>0</v>
      </c>
      <c r="D127" s="109">
        <v>302982.01643835625</v>
      </c>
      <c r="E127" s="109">
        <v>302982.02</v>
      </c>
      <c r="F127" s="109">
        <v>-3.561643767170608E-3</v>
      </c>
      <c r="H127" s="109"/>
      <c r="I127" s="109"/>
      <c r="J127" s="115"/>
    </row>
    <row r="128" spans="1:10" x14ac:dyDescent="0.25">
      <c r="A128" s="11" t="str">
        <v>Example Vendor 070</v>
      </c>
      <c r="B128" s="113" t="str">
        <v>Example Contract 093</v>
      </c>
      <c r="C128" s="109">
        <v>0</v>
      </c>
      <c r="D128" s="109">
        <v>2052892.6320547946</v>
      </c>
      <c r="E128" s="109">
        <v>2052892.63</v>
      </c>
      <c r="F128" s="109">
        <v>2.0547946915030479E-3</v>
      </c>
      <c r="H128" s="109"/>
      <c r="I128" s="109"/>
      <c r="J128" s="115"/>
    </row>
    <row r="129" spans="1:10" x14ac:dyDescent="0.25">
      <c r="A129" s="11" t="str">
        <v>Example Vendor 070</v>
      </c>
      <c r="B129" s="113" t="str">
        <v>Example Contract 094</v>
      </c>
      <c r="C129" s="109">
        <v>0</v>
      </c>
      <c r="D129" s="109">
        <v>4790082.8047671234</v>
      </c>
      <c r="E129" s="109">
        <v>4790082.8</v>
      </c>
      <c r="F129" s="109">
        <v>4.7671236097812653E-3</v>
      </c>
      <c r="H129" s="109"/>
      <c r="I129" s="109"/>
      <c r="J129" s="115"/>
    </row>
    <row r="130" spans="1:10" x14ac:dyDescent="0.25">
      <c r="A130" s="11" t="str">
        <v>Example Vendor 070</v>
      </c>
      <c r="B130" s="113" t="str">
        <v>Example Contract 095</v>
      </c>
      <c r="C130" s="109">
        <v>0</v>
      </c>
      <c r="D130" s="109">
        <v>156240</v>
      </c>
      <c r="E130" s="109">
        <v>156240</v>
      </c>
      <c r="F130" s="109">
        <v>0</v>
      </c>
      <c r="H130" s="109"/>
      <c r="I130" s="109"/>
      <c r="J130" s="115"/>
    </row>
    <row r="131" spans="1:10" x14ac:dyDescent="0.25">
      <c r="A131" s="11" t="str">
        <v>Example Vendor 070</v>
      </c>
      <c r="B131" s="113" t="str">
        <v>Example Contract 096</v>
      </c>
      <c r="C131" s="109">
        <v>0</v>
      </c>
      <c r="D131" s="109">
        <v>8257.4449972602742</v>
      </c>
      <c r="E131" s="109">
        <v>8257.44</v>
      </c>
      <c r="F131" s="109">
        <v>4.997260273739812E-3</v>
      </c>
      <c r="H131" s="109"/>
      <c r="I131" s="109"/>
      <c r="J131" s="115"/>
    </row>
    <row r="132" spans="1:10" x14ac:dyDescent="0.25">
      <c r="A132" s="11" t="str">
        <v>Example Vendor 070</v>
      </c>
      <c r="B132" s="113" t="str">
        <v>Example Contract 097</v>
      </c>
      <c r="C132" s="109">
        <v>0</v>
      </c>
      <c r="D132" s="109">
        <v>19259.371660273973</v>
      </c>
      <c r="E132" s="109">
        <v>19259.37</v>
      </c>
      <c r="F132" s="109">
        <v>1.6602739742666017E-3</v>
      </c>
      <c r="H132" s="109"/>
      <c r="I132" s="109"/>
      <c r="J132" s="115"/>
    </row>
    <row r="133" spans="1:10" x14ac:dyDescent="0.25">
      <c r="A133" s="11" t="str">
        <v>Example Vendor 070</v>
      </c>
      <c r="B133" s="113" t="str">
        <v>Example Contract 098</v>
      </c>
      <c r="C133" s="109">
        <v>0</v>
      </c>
      <c r="D133" s="109">
        <v>29236.719780821917</v>
      </c>
      <c r="E133" s="109">
        <v>29236.720000000001</v>
      </c>
      <c r="F133" s="109">
        <v>-2.1917808408034034E-4</v>
      </c>
      <c r="H133" s="109"/>
      <c r="I133" s="109"/>
      <c r="J133" s="115"/>
    </row>
    <row r="134" spans="1:10" x14ac:dyDescent="0.25">
      <c r="A134" s="11" t="str">
        <v>Example Vendor 070</v>
      </c>
      <c r="B134" s="113" t="str">
        <v>Example Contract 099</v>
      </c>
      <c r="C134" s="109">
        <v>0</v>
      </c>
      <c r="D134" s="109">
        <v>43215.109247945191</v>
      </c>
      <c r="E134" s="109">
        <v>43215.11</v>
      </c>
      <c r="F134" s="109">
        <v>-7.5205480970907956E-4</v>
      </c>
      <c r="H134" s="109"/>
      <c r="I134" s="109"/>
      <c r="J134" s="115"/>
    </row>
    <row r="135" spans="1:10" x14ac:dyDescent="0.25">
      <c r="A135" s="11" t="str">
        <v>Example Vendor 070</v>
      </c>
      <c r="B135" s="113" t="str">
        <v>Example Contract 100</v>
      </c>
      <c r="C135" s="109">
        <v>0</v>
      </c>
      <c r="D135" s="109">
        <v>100835.24788082189</v>
      </c>
      <c r="E135" s="109">
        <v>100835.25</v>
      </c>
      <c r="F135" s="109">
        <v>-2.1191781124798581E-3</v>
      </c>
      <c r="H135" s="109"/>
      <c r="I135" s="109"/>
      <c r="J135" s="115"/>
    </row>
    <row r="136" spans="1:10" x14ac:dyDescent="0.25">
      <c r="A136" s="11" t="str">
        <v>Example Vendor 070</v>
      </c>
      <c r="B136" s="113" t="str">
        <v>Example Contract 101</v>
      </c>
      <c r="C136" s="109">
        <v>0</v>
      </c>
      <c r="D136" s="109">
        <v>11134.462684931506</v>
      </c>
      <c r="E136" s="109">
        <v>11134.46</v>
      </c>
      <c r="F136" s="109">
        <v>2.6849315072468016E-3</v>
      </c>
      <c r="H136" s="109"/>
      <c r="I136" s="109"/>
      <c r="J136" s="115"/>
    </row>
    <row r="137" spans="1:10" x14ac:dyDescent="0.25">
      <c r="A137" s="11" t="str">
        <v>Example Vendor 070</v>
      </c>
      <c r="B137" s="113" t="str">
        <v>Example Contract 102</v>
      </c>
      <c r="C137" s="109">
        <v>0</v>
      </c>
      <c r="D137" s="109">
        <v>37543.384615384624</v>
      </c>
      <c r="E137" s="109">
        <v>37543.379999999997</v>
      </c>
      <c r="F137" s="109">
        <v>4.6153846269589849E-3</v>
      </c>
      <c r="H137" s="109"/>
      <c r="I137" s="109"/>
      <c r="J137" s="115"/>
    </row>
    <row r="138" spans="1:10" x14ac:dyDescent="0.25">
      <c r="A138" s="11" t="str">
        <v>Example Vendor 084</v>
      </c>
      <c r="B138" s="113" t="str">
        <v>Example Contract 117</v>
      </c>
      <c r="C138" s="109">
        <v>0</v>
      </c>
      <c r="D138" s="109">
        <v>0</v>
      </c>
      <c r="E138" s="109">
        <v>200000</v>
      </c>
      <c r="F138" s="109">
        <v>-200000</v>
      </c>
      <c r="H138" s="109"/>
      <c r="I138" s="109"/>
      <c r="J138" s="115"/>
    </row>
    <row r="139" spans="1:10" x14ac:dyDescent="0.25">
      <c r="A139" s="11" t="str">
        <v>Example Vendor 103</v>
      </c>
      <c r="B139" s="113" t="str">
        <v>Example Contract 138</v>
      </c>
      <c r="C139" s="109">
        <v>0</v>
      </c>
      <c r="D139" s="109">
        <v>75000</v>
      </c>
      <c r="E139" s="109">
        <v>40000</v>
      </c>
      <c r="F139" s="109">
        <v>35000</v>
      </c>
      <c r="H139" s="109"/>
      <c r="I139" s="109"/>
      <c r="J139" s="115"/>
    </row>
    <row r="140" spans="1:10" x14ac:dyDescent="0.25">
      <c r="A140" s="11" t="str">
        <v>Example Vendor 104</v>
      </c>
      <c r="B140" s="113" t="str">
        <v>Example Contract 139</v>
      </c>
      <c r="C140" s="109">
        <v>0</v>
      </c>
      <c r="D140" s="109">
        <v>0</v>
      </c>
      <c r="E140" s="109">
        <v>0</v>
      </c>
      <c r="F140" s="109">
        <v>0</v>
      </c>
      <c r="H140" s="109"/>
      <c r="I140" s="109"/>
      <c r="J140" s="115"/>
    </row>
    <row r="141" spans="1:10" x14ac:dyDescent="0.25">
      <c r="A141" s="11" t="str">
        <v>Example Vendor 106</v>
      </c>
      <c r="B141" s="113" t="str">
        <v>Example Contract 141</v>
      </c>
      <c r="C141" s="109">
        <v>0</v>
      </c>
      <c r="D141" s="109">
        <v>116179.08</v>
      </c>
      <c r="E141" s="109">
        <v>116179.08</v>
      </c>
      <c r="F141" s="109">
        <v>0</v>
      </c>
      <c r="H141" s="109"/>
      <c r="I141" s="109"/>
      <c r="J141" s="115"/>
    </row>
    <row r="142" spans="1:10" x14ac:dyDescent="0.25">
      <c r="A142" s="11" t="str">
        <v>Example Vendor 107</v>
      </c>
      <c r="B142" s="113" t="str">
        <v>Example Contract 142</v>
      </c>
      <c r="C142" s="109">
        <v>0</v>
      </c>
      <c r="D142" s="109">
        <v>172.5</v>
      </c>
      <c r="E142" s="109">
        <v>172.5</v>
      </c>
      <c r="F142" s="109">
        <v>0</v>
      </c>
      <c r="H142" s="109"/>
      <c r="I142" s="109"/>
      <c r="J142" s="115"/>
    </row>
    <row r="143" spans="1:10" x14ac:dyDescent="0.25">
      <c r="B143" s="113"/>
      <c r="C143" s="109"/>
      <c r="D143" s="109"/>
      <c r="E143" s="109"/>
      <c r="F143" s="109"/>
      <c r="H143" s="109"/>
      <c r="I143" s="109"/>
      <c r="J143" s="115"/>
    </row>
    <row r="144" spans="1:10" x14ac:dyDescent="0.25">
      <c r="B144" s="113"/>
      <c r="C144" s="109"/>
      <c r="D144" s="109"/>
      <c r="E144" s="109"/>
      <c r="F144" s="109"/>
      <c r="H144" s="109"/>
      <c r="I144" s="109"/>
      <c r="J144" s="115"/>
    </row>
    <row r="145" spans="1:10" x14ac:dyDescent="0.25">
      <c r="B145" s="113"/>
      <c r="C145" s="109"/>
      <c r="D145" s="109"/>
      <c r="E145" s="109"/>
      <c r="F145" s="109"/>
      <c r="H145" s="109"/>
      <c r="I145" s="109"/>
      <c r="J145" s="115"/>
    </row>
    <row r="146" spans="1:10" ht="26.1" customHeight="1" x14ac:dyDescent="0.3">
      <c r="A146" s="108" t="s">
        <v>562</v>
      </c>
      <c r="B146" s="108"/>
      <c r="C146" s="108"/>
      <c r="D146" s="108"/>
      <c r="E146" s="108"/>
      <c r="F146" s="108"/>
      <c r="G146" s="108"/>
      <c r="H146" s="108"/>
      <c r="I146" s="108"/>
      <c r="J146" s="108"/>
    </row>
    <row r="147" spans="1:10" x14ac:dyDescent="0.25">
      <c r="A147" t="str" cm="1">
        <f t="array" ref="A147:E177">_xlfn.LET(_xlpm.cm,('Fake Simplified View'!D2:D143="Consumption")*(UPPER(TRIM('Fake Simplified View'!C2:C143))="Y"),_xlpm.um,('Fake Simplified View'!D2:D143="Consumption")*(UPPER(TRIM('Fake Simplified View'!C2:C143))&lt;&gt;"Y"),_xlpm.cc,SUM(--_xlpm.cm),_xlpm.uc,SUM(--_xlpm.um),_xlpm.committed,IF(_xlpm.cc=0,_xlfn.HSTACK("No committed consumption items","","","",""),_xlfn.LET(_xlpm.r,_xlfn._xlws.FILTER(_xlfn.CHOOSECOLS('Fake Simplified View'!A2:H143,1,2,6,7,8),_xlpm.cm),_xlfn.HSTACK(_xlfn.CHOOSECOLS(_xlpm.r,1),IF(_xlfn.CHOOSECOLS(_xlpm.r,2)=0,"",_xlfn.CHOOSECOLS(_xlpm.r,2)),_xlfn.CHOOSECOLS(_xlpm.r,3,4,5)))),_xlpm.upcoming,IF(_xlpm.uc=0,_xlfn.HSTACK("No upcoming consumption items","","","",""),_xlfn.LET(_xlpm.r,_xlfn._xlws.FILTER(_xlfn.CHOOSECOLS('Fake Simplified View'!A2:H143,1,2,6,7,8),_xlpm.um),_xlfn.HSTACK(_xlfn.CHOOSECOLS(_xlpm.r,1),IF(_xlfn.CHOOSECOLS(_xlpm.r,2)=0,"",_xlfn.CHOOSECOLS(_xlpm.r,2)),_xlfn.CHOOSECOLS(_xlpm.r,3,4,5)))),_xlfn.VSTACK(_xlfn.HSTACK("Vendor","Contract","V1 budget","Renewal price","Costout"),_xlpm.committed,_xlfn.HSTACK("","","","",""),_xlfn.HSTACK("","","","",""),_xlfn.HSTACK("Upcoming consumption vendors","","","",""),_xlfn.HSTACK("Vendor","Contract","V1 budget","Renewal price","Costout"),_xlpm.upcoming))</f>
        <v>Vendor</v>
      </c>
      <c r="B147" t="str">
        <v>Contract</v>
      </c>
      <c r="C147" s="109" t="str">
        <v>V1 budget</v>
      </c>
      <c r="D147" s="109" t="str">
        <v>Renewal price</v>
      </c>
      <c r="E147" s="109" t="str">
        <v>Costout</v>
      </c>
      <c r="G147" t="str" cm="1">
        <f t="array" ref="G147:J153">_xlfn.LET(_xlpm.cm,('Fake Simplified View'!D2:D143="Consumption")*(UPPER(TRIM('Fake Simplified View'!C2:C143))="Y"),_xlpm.um,('Fake Simplified View'!D2:D143="Consumption")*(UPPER(TRIM('Fake Simplified View'!C2:C143))&lt;&gt;"Y"),_xlpm.cc,SUM(--_xlpm.cm),_xlpm.uc,SUM(--_xlpm.um),_xlpm.displayRows,MAX(1,_xlpm.cc),_xlfn.VSTACK(_xlfn.HSTACK("Committed summary","V1 budget","Renewal price","Costout"),_xlfn.HSTACK(_xlpm.cc&amp;" committed items",SUM(_xlfn._xlws.FILTER('Fake Simplified View'!F2:F143,_xlpm.cm,0)),SUM(_xlfn._xlws.FILTER('Fake Simplified View'!G2:G143,_xlpm.cm,0)),SUM(_xlfn._xlws.FILTER('Fake Simplified View'!H2:H143,_xlpm.cm,0))),_xlfn.MAKEARRAY(_xlpm.displayRows+2,4,_xlfn.LAMBDA(_xlpm.r,_xlpm.c,"")),_xlfn.HSTACK("Upcoming summary","V1 budget","Renewal price","Costout"),_xlfn.HSTACK(_xlpm.uc&amp;" uncommitted items",SUM(_xlfn._xlws.FILTER('Fake Simplified View'!F2:F143,_xlpm.um,0)),SUM(_xlfn._xlws.FILTER('Fake Simplified View'!G2:G143,_xlpm.um,0)),SUM(_xlfn._xlws.FILTER('Fake Simplified View'!H2:H143,_xlpm.um,0)))))</f>
        <v>Committed summary</v>
      </c>
      <c r="H147" s="109" t="str">
        <v>V1 budget</v>
      </c>
      <c r="I147" s="109" t="str">
        <v>Renewal price</v>
      </c>
      <c r="J147" s="109" t="str">
        <v>Costout</v>
      </c>
    </row>
    <row r="148" spans="1:10" x14ac:dyDescent="0.25">
      <c r="A148" t="str">
        <v>No committed consumption items</v>
      </c>
      <c r="B148" t="str">
        <v/>
      </c>
      <c r="C148" s="109" t="str">
        <v/>
      </c>
      <c r="D148" s="109" t="str">
        <v/>
      </c>
      <c r="E148" s="109" t="str">
        <v/>
      </c>
      <c r="G148" t="str">
        <v>0 committed items</v>
      </c>
      <c r="H148" s="109">
        <v>0</v>
      </c>
      <c r="I148" s="109">
        <v>0</v>
      </c>
      <c r="J148" s="109">
        <v>0</v>
      </c>
    </row>
    <row r="149" spans="1:10" x14ac:dyDescent="0.25">
      <c r="A149" t="str">
        <v/>
      </c>
      <c r="B149" t="str">
        <v/>
      </c>
      <c r="C149" s="109" t="str">
        <v/>
      </c>
      <c r="D149" s="109" t="str">
        <v/>
      </c>
      <c r="E149" s="109" t="str">
        <v/>
      </c>
      <c r="G149" t="str">
        <v/>
      </c>
      <c r="H149" s="109" t="str">
        <v/>
      </c>
      <c r="I149" s="109" t="str">
        <v/>
      </c>
      <c r="J149" s="109" t="str">
        <v/>
      </c>
    </row>
    <row r="150" spans="1:10" x14ac:dyDescent="0.25">
      <c r="A150" t="str">
        <v/>
      </c>
      <c r="B150" t="str">
        <v/>
      </c>
      <c r="C150" s="109" t="str">
        <v/>
      </c>
      <c r="D150" s="109" t="str">
        <v/>
      </c>
      <c r="E150" s="109" t="str">
        <v/>
      </c>
      <c r="G150" t="str">
        <v/>
      </c>
      <c r="H150" s="109" t="str">
        <v/>
      </c>
      <c r="I150" s="109" t="str">
        <v/>
      </c>
      <c r="J150" s="109" t="str">
        <v/>
      </c>
    </row>
    <row r="151" spans="1:10" ht="18.75" x14ac:dyDescent="0.3">
      <c r="A151" s="116" t="str">
        <v>Upcoming consumption vendors</v>
      </c>
      <c r="B151" t="str">
        <v/>
      </c>
      <c r="C151" s="109" t="str">
        <v/>
      </c>
      <c r="D151" s="109" t="str">
        <v/>
      </c>
      <c r="E151" s="109" t="str">
        <v/>
      </c>
      <c r="G151" t="str">
        <v/>
      </c>
      <c r="H151" s="109" t="str">
        <v/>
      </c>
      <c r="I151" s="109" t="str">
        <v/>
      </c>
      <c r="J151" s="109" t="str">
        <v/>
      </c>
    </row>
    <row r="152" spans="1:10" x14ac:dyDescent="0.25">
      <c r="A152" t="str">
        <v>Vendor</v>
      </c>
      <c r="B152" t="str">
        <v>Contract</v>
      </c>
      <c r="C152" s="109" t="str">
        <v>V1 budget</v>
      </c>
      <c r="D152" s="109" t="str">
        <v>Renewal price</v>
      </c>
      <c r="E152" s="109" t="str">
        <v>Costout</v>
      </c>
      <c r="G152" t="str">
        <v>Upcoming summary</v>
      </c>
      <c r="H152" s="109" t="str">
        <v>V1 budget</v>
      </c>
      <c r="I152" s="109" t="str">
        <v>Renewal price</v>
      </c>
      <c r="J152" s="109" t="str">
        <v>Costout</v>
      </c>
    </row>
    <row r="153" spans="1:10" x14ac:dyDescent="0.25">
      <c r="A153" t="str">
        <v>Example Vendor 005</v>
      </c>
      <c r="B153" t="str">
        <v>Example Contract 005</v>
      </c>
      <c r="C153" s="109">
        <v>5687336</v>
      </c>
      <c r="D153" s="109">
        <v>5687336</v>
      </c>
      <c r="E153" s="109">
        <v>0</v>
      </c>
      <c r="G153" t="str">
        <v>25 uncommitted items</v>
      </c>
      <c r="H153" s="109">
        <v>7659712.8425893756</v>
      </c>
      <c r="I153" s="109">
        <v>7659312.8399999999</v>
      </c>
      <c r="J153" s="109">
        <v>400.00258937513718</v>
      </c>
    </row>
    <row r="154" spans="1:10" x14ac:dyDescent="0.25">
      <c r="A154" t="str">
        <v>Example Vendor 012</v>
      </c>
      <c r="B154" t="str">
        <v>Example Contract 012</v>
      </c>
      <c r="C154" s="109">
        <v>302217</v>
      </c>
      <c r="D154" s="109">
        <v>302217</v>
      </c>
      <c r="E154" s="109">
        <v>0</v>
      </c>
      <c r="H154" s="109"/>
      <c r="I154" s="109"/>
      <c r="J154" s="109"/>
    </row>
    <row r="155" spans="1:10" x14ac:dyDescent="0.25">
      <c r="A155" t="str">
        <v>Example Vendor 013</v>
      </c>
      <c r="B155" t="str">
        <v>Example Contract 013</v>
      </c>
      <c r="C155" s="109">
        <v>3630.0000000000005</v>
      </c>
      <c r="D155" s="109">
        <v>3630</v>
      </c>
      <c r="E155" s="109">
        <v>0</v>
      </c>
      <c r="H155" s="109"/>
      <c r="I155" s="109"/>
      <c r="J155" s="109"/>
    </row>
    <row r="156" spans="1:10" x14ac:dyDescent="0.25">
      <c r="A156" t="str">
        <v>Example Vendor 018</v>
      </c>
      <c r="B156" t="str">
        <v>Example Contract 018</v>
      </c>
      <c r="C156" s="109">
        <v>9600</v>
      </c>
      <c r="D156" s="109">
        <v>9600</v>
      </c>
      <c r="E156" s="109">
        <v>0</v>
      </c>
      <c r="H156" s="109"/>
      <c r="I156" s="109"/>
      <c r="J156" s="109"/>
    </row>
    <row r="157" spans="1:10" x14ac:dyDescent="0.25">
      <c r="A157" t="str">
        <v>Example Vendor 019</v>
      </c>
      <c r="B157" t="str">
        <v>Example Contract 019</v>
      </c>
      <c r="C157" s="109">
        <v>15000</v>
      </c>
      <c r="D157" s="109">
        <v>15000</v>
      </c>
      <c r="E157" s="109">
        <v>0</v>
      </c>
      <c r="H157" s="109"/>
      <c r="I157" s="109"/>
      <c r="J157" s="109"/>
    </row>
    <row r="158" spans="1:10" x14ac:dyDescent="0.25">
      <c r="A158" t="str">
        <v>Example Vendor 022</v>
      </c>
      <c r="B158" t="str">
        <v>Example Contract 022</v>
      </c>
      <c r="C158" s="109">
        <v>31886.842589375137</v>
      </c>
      <c r="D158" s="109">
        <v>31886.84</v>
      </c>
      <c r="E158" s="109">
        <v>2.5893751371768303E-3</v>
      </c>
      <c r="H158" s="109"/>
      <c r="I158" s="109"/>
      <c r="J158" s="109"/>
    </row>
    <row r="159" spans="1:10" x14ac:dyDescent="0.25">
      <c r="A159" t="str">
        <v>Example Vendor 023</v>
      </c>
      <c r="B159" t="str">
        <v>Example Contract 023</v>
      </c>
      <c r="C159" s="109">
        <v>497</v>
      </c>
      <c r="D159" s="109">
        <v>497</v>
      </c>
      <c r="E159" s="109">
        <v>0</v>
      </c>
      <c r="H159" s="109"/>
      <c r="I159" s="109"/>
      <c r="J159" s="109"/>
    </row>
    <row r="160" spans="1:10" x14ac:dyDescent="0.25">
      <c r="A160" t="str">
        <v>Example Vendor 024</v>
      </c>
      <c r="B160" t="str">
        <v>Example Contract 024</v>
      </c>
      <c r="C160" s="109">
        <v>0</v>
      </c>
      <c r="D160" s="109">
        <v>0</v>
      </c>
      <c r="E160" s="109">
        <v>0</v>
      </c>
      <c r="H160" s="109"/>
      <c r="I160" s="109"/>
      <c r="J160" s="109"/>
    </row>
    <row r="161" spans="1:10" x14ac:dyDescent="0.25">
      <c r="A161" t="str">
        <v>Example Vendor 028</v>
      </c>
      <c r="B161" t="str">
        <v>Example Contract 029</v>
      </c>
      <c r="C161" s="109">
        <v>973271.20000000007</v>
      </c>
      <c r="D161" s="109">
        <v>973271.2</v>
      </c>
      <c r="E161" s="109">
        <v>0</v>
      </c>
      <c r="H161" s="109"/>
      <c r="I161" s="109"/>
      <c r="J161" s="109"/>
    </row>
    <row r="162" spans="1:10" x14ac:dyDescent="0.25">
      <c r="A162" t="str">
        <v>Example Vendor 049</v>
      </c>
      <c r="B162" t="str">
        <v>Example Contract 055</v>
      </c>
      <c r="C162" s="109">
        <v>24000</v>
      </c>
      <c r="D162" s="109">
        <v>24000</v>
      </c>
      <c r="E162" s="109">
        <v>0</v>
      </c>
      <c r="H162" s="109"/>
      <c r="I162" s="109"/>
      <c r="J162" s="109"/>
    </row>
    <row r="163" spans="1:10" x14ac:dyDescent="0.25">
      <c r="A163" t="str">
        <v>Example Vendor 049</v>
      </c>
      <c r="B163" t="str">
        <v>Example Contract 056</v>
      </c>
      <c r="C163" s="109">
        <v>2000</v>
      </c>
      <c r="D163" s="109">
        <v>2000</v>
      </c>
      <c r="E163" s="109">
        <v>0</v>
      </c>
      <c r="H163" s="109"/>
      <c r="I163" s="109"/>
      <c r="J163" s="109"/>
    </row>
    <row r="164" spans="1:10" x14ac:dyDescent="0.25">
      <c r="A164" t="str">
        <v>Example Vendor 051</v>
      </c>
      <c r="B164" t="str">
        <v>Example Contract 058</v>
      </c>
      <c r="C164" s="109">
        <v>3024</v>
      </c>
      <c r="D164" s="109">
        <v>3024</v>
      </c>
      <c r="E164" s="109">
        <v>0</v>
      </c>
      <c r="H164" s="109"/>
      <c r="I164" s="109"/>
      <c r="J164" s="109"/>
    </row>
    <row r="165" spans="1:10" x14ac:dyDescent="0.25">
      <c r="A165" t="str">
        <v>Example Vendor 052</v>
      </c>
      <c r="B165" t="str">
        <v>Example Contract 059</v>
      </c>
      <c r="C165" s="109">
        <v>13999.999999999998</v>
      </c>
      <c r="D165" s="109">
        <v>14000</v>
      </c>
      <c r="E165" s="109">
        <v>0</v>
      </c>
      <c r="H165" s="109"/>
      <c r="I165" s="109"/>
      <c r="J165" s="109"/>
    </row>
    <row r="166" spans="1:10" x14ac:dyDescent="0.25">
      <c r="A166" t="str">
        <v>Example Vendor 054</v>
      </c>
      <c r="B166" t="str">
        <v>Example Contract 062</v>
      </c>
      <c r="C166" s="109">
        <v>0</v>
      </c>
      <c r="D166" s="109">
        <v>0</v>
      </c>
      <c r="E166" s="109">
        <v>0</v>
      </c>
      <c r="H166" s="109"/>
      <c r="I166" s="109"/>
      <c r="J166" s="109"/>
    </row>
    <row r="167" spans="1:10" x14ac:dyDescent="0.25">
      <c r="A167" t="str">
        <v>Example Vendor 032</v>
      </c>
      <c r="B167" t="str">
        <v>Example Contract 076</v>
      </c>
      <c r="C167" s="109">
        <v>40000</v>
      </c>
      <c r="D167" s="109">
        <v>40000</v>
      </c>
      <c r="E167" s="109">
        <v>0</v>
      </c>
      <c r="H167" s="109"/>
      <c r="I167" s="109"/>
      <c r="J167" s="109"/>
    </row>
    <row r="168" spans="1:10" x14ac:dyDescent="0.25">
      <c r="A168" t="str">
        <v>Example Vendor 063</v>
      </c>
      <c r="B168" t="str">
        <v>Example Contract 081</v>
      </c>
      <c r="C168" s="109">
        <v>296008</v>
      </c>
      <c r="D168" s="109">
        <v>296008</v>
      </c>
      <c r="E168" s="109">
        <v>0</v>
      </c>
      <c r="H168" s="109"/>
      <c r="I168" s="109"/>
      <c r="J168" s="109"/>
    </row>
    <row r="169" spans="1:10" x14ac:dyDescent="0.25">
      <c r="A169" t="str">
        <v>Example Vendor 064</v>
      </c>
      <c r="B169" t="str">
        <v>Example Contract 084</v>
      </c>
      <c r="C169" s="109">
        <v>20620.800000000003</v>
      </c>
      <c r="D169" s="109">
        <v>20620.8</v>
      </c>
      <c r="E169" s="109">
        <v>0</v>
      </c>
      <c r="H169" s="109"/>
      <c r="I169" s="109"/>
      <c r="J169" s="109"/>
    </row>
    <row r="170" spans="1:10" x14ac:dyDescent="0.25">
      <c r="A170" t="str">
        <v>Example Vendor 067</v>
      </c>
      <c r="B170" t="str">
        <v>Example Contract 087</v>
      </c>
      <c r="C170" s="109">
        <v>18000</v>
      </c>
      <c r="D170" s="109">
        <v>18000</v>
      </c>
      <c r="E170" s="109">
        <v>0</v>
      </c>
      <c r="H170" s="109"/>
      <c r="I170" s="109"/>
      <c r="J170" s="109"/>
    </row>
    <row r="171" spans="1:10" x14ac:dyDescent="0.25">
      <c r="A171" t="str">
        <v>Example Vendor 078</v>
      </c>
      <c r="B171" t="str">
        <v>Example Contract 110</v>
      </c>
      <c r="C171" s="109">
        <v>99999.999999999985</v>
      </c>
      <c r="D171" s="109">
        <v>100000</v>
      </c>
      <c r="E171" s="109">
        <v>0</v>
      </c>
      <c r="H171" s="109"/>
      <c r="I171" s="109"/>
      <c r="J171" s="109"/>
    </row>
    <row r="172" spans="1:10" x14ac:dyDescent="0.25">
      <c r="A172" t="str">
        <v>Example Vendor 079</v>
      </c>
      <c r="B172" t="str">
        <v>Example Contract 112</v>
      </c>
      <c r="C172" s="109">
        <v>11550</v>
      </c>
      <c r="D172" s="109">
        <v>11550</v>
      </c>
      <c r="E172" s="109">
        <v>0</v>
      </c>
      <c r="H172" s="109"/>
      <c r="I172" s="109"/>
      <c r="J172" s="109"/>
    </row>
    <row r="173" spans="1:10" x14ac:dyDescent="0.25">
      <c r="A173" t="str">
        <v>Example Vendor 086</v>
      </c>
      <c r="B173" t="str">
        <v>Example Contract 119</v>
      </c>
      <c r="C173" s="109">
        <v>42000</v>
      </c>
      <c r="D173" s="109">
        <v>42000</v>
      </c>
      <c r="E173" s="109">
        <v>0</v>
      </c>
      <c r="H173" s="109"/>
      <c r="I173" s="109"/>
      <c r="J173" s="109"/>
    </row>
    <row r="174" spans="1:10" x14ac:dyDescent="0.25">
      <c r="A174" t="str">
        <v>Example Vendor 087</v>
      </c>
      <c r="B174" t="str">
        <v>Example Contract 120</v>
      </c>
      <c r="C174" s="109">
        <v>27999.999999999996</v>
      </c>
      <c r="D174" s="109">
        <v>28000</v>
      </c>
      <c r="E174" s="109">
        <v>0</v>
      </c>
      <c r="H174" s="109"/>
      <c r="I174" s="109"/>
      <c r="J174" s="109"/>
    </row>
    <row r="175" spans="1:10" x14ac:dyDescent="0.25">
      <c r="A175" t="str">
        <v>Example Vendor 090</v>
      </c>
      <c r="B175" t="str">
        <v>Example Contract 123</v>
      </c>
      <c r="C175" s="109">
        <v>7200</v>
      </c>
      <c r="D175" s="109">
        <v>7200</v>
      </c>
      <c r="E175" s="109">
        <v>0</v>
      </c>
      <c r="H175" s="109"/>
      <c r="I175" s="109"/>
      <c r="J175" s="109"/>
    </row>
    <row r="176" spans="1:10" x14ac:dyDescent="0.25">
      <c r="A176" t="str">
        <v>Example Vendor 095</v>
      </c>
      <c r="B176" t="str">
        <v>Example Contract 130</v>
      </c>
      <c r="C176" s="109">
        <v>29472</v>
      </c>
      <c r="D176" s="109">
        <v>29472</v>
      </c>
      <c r="E176" s="109">
        <v>0</v>
      </c>
      <c r="H176" s="109"/>
      <c r="I176" s="109"/>
      <c r="J176" s="109"/>
    </row>
    <row r="177" spans="1:10" x14ac:dyDescent="0.25">
      <c r="A177" t="str">
        <v>Example Vendor 105</v>
      </c>
      <c r="B177" t="str">
        <v>Example Contract 140</v>
      </c>
      <c r="C177" s="109">
        <v>400</v>
      </c>
      <c r="D177" s="109">
        <v>0</v>
      </c>
      <c r="E177" s="109">
        <v>400</v>
      </c>
      <c r="H177" s="109"/>
      <c r="I177" s="109"/>
      <c r="J177" s="109"/>
    </row>
    <row r="178" spans="1:10" x14ac:dyDescent="0.25">
      <c r="A178"/>
      <c r="B178"/>
      <c r="C178" s="109"/>
      <c r="D178" s="109"/>
      <c r="E178" s="109"/>
      <c r="H178" s="109"/>
      <c r="I178" s="109"/>
      <c r="J178" s="109"/>
    </row>
    <row r="179" spans="1:10" ht="26.1" customHeight="1" x14ac:dyDescent="0.3">
      <c r="A179" s="108" t="s">
        <v>563</v>
      </c>
      <c r="B179" s="108"/>
      <c r="C179" s="108"/>
      <c r="D179" s="108"/>
      <c r="E179" s="108"/>
      <c r="F179" s="108"/>
      <c r="G179" s="108"/>
      <c r="H179" s="108"/>
      <c r="I179" s="108"/>
      <c r="J179" s="108"/>
    </row>
    <row r="180" spans="1:10" x14ac:dyDescent="0.25">
      <c r="A180" t="str" cm="1">
        <f t="array" ref="A180:E195">_xlfn.LET(_xlpm.cm,('Fake Simplified View'!D2:D143="New Spend")*(UPPER(TRIM('Fake Simplified View'!C2:C143))="Y"),_xlpm.um,('Fake Simplified View'!D2:D143="New Spend")*(UPPER(TRIM('Fake Simplified View'!C2:C143))&lt;&gt;"Y"),_xlpm.cc,SUM(--_xlpm.cm),_xlpm.uc,SUM(--_xlpm.um),_xlpm.committed,IF(_xlpm.cc=0,_xlfn.HSTACK("No committed new spend items","","","",""),_xlfn.LET(_xlpm.r,_xlfn._xlws.FILTER(_xlfn.CHOOSECOLS('Fake Simplified View'!A2:H143,1,2,6,7,8),_xlpm.cm),_xlfn.HSTACK(_xlfn.CHOOSECOLS(_xlpm.r,1),IF(_xlfn.CHOOSECOLS(_xlpm.r,2)=0,"",_xlfn.CHOOSECOLS(_xlpm.r,2)),_xlfn.CHOOSECOLS(_xlpm.r,3,4,5)))),_xlpm.upcoming,IF(_xlpm.uc=0,_xlfn.HSTACK("No upcoming new spend items","","","",""),_xlfn.LET(_xlpm.r,_xlfn._xlws.FILTER(_xlfn.CHOOSECOLS('Fake Simplified View'!A2:H143,1,2,6,7,8),_xlpm.um),_xlfn.HSTACK(_xlfn.CHOOSECOLS(_xlpm.r,1),IF(_xlfn.CHOOSECOLS(_xlpm.r,2)=0,"",_xlfn.CHOOSECOLS(_xlpm.r,2)),_xlfn.CHOOSECOLS(_xlpm.r,3,4,5)))),_xlfn.VSTACK(_xlfn.HSTACK("Vendor","Contract","V1 budget","Renewal price","Costout"),_xlpm.committed,_xlfn.HSTACK("","","","",""),_xlfn.HSTACK("","","","",""),_xlfn.HSTACK("Upcoming new spend vendors","","","",""),_xlfn.HSTACK("Vendor","Contract","V1 budget","Renewal price","Costout"),_xlpm.upcoming))</f>
        <v>Vendor</v>
      </c>
      <c r="B180" t="str">
        <v>Contract</v>
      </c>
      <c r="C180" s="109" t="str">
        <v>V1 budget</v>
      </c>
      <c r="D180" s="109" t="str">
        <v>Renewal price</v>
      </c>
      <c r="E180" s="109" t="str">
        <v>Costout</v>
      </c>
      <c r="G180" t="str" cm="1">
        <f t="array" ref="G180:J186">_xlfn.LET(_xlpm.cm,('Fake Simplified View'!D2:D143="New Spend")*(UPPER(TRIM('Fake Simplified View'!C2:C143))="Y"),_xlpm.um,('Fake Simplified View'!D2:D143="New Spend")*(UPPER(TRIM('Fake Simplified View'!C2:C143))&lt;&gt;"Y"),_xlpm.cc,SUM(--_xlpm.cm),_xlpm.uc,SUM(--_xlpm.um),_xlpm.displayRows,MAX(1,_xlpm.cc),_xlfn.VSTACK(_xlfn.HSTACK("Committed summary","V1 budget","Renewal price","Costout"),_xlfn.HSTACK(_xlpm.cc&amp;" committed items",ROUND(SUM(_xlfn._xlws.FILTER('Fake Simplified View'!F2:F143,_xlpm.cm,0)),2),ROUND(SUM(_xlfn._xlws.FILTER('Fake Simplified View'!G2:G143,_xlpm.cm,0)),2),ROUND(SUM(_xlfn._xlws.FILTER('Fake Simplified View'!H2:H143,_xlpm.cm,0)),2)),_xlfn.MAKEARRAY(_xlpm.displayRows+2,4,_xlfn.LAMBDA(_xlpm.r,_xlpm.c,"")),_xlfn.HSTACK("Upcoming summary","V1 budget","Renewal price","Costout"),_xlfn.HSTACK(_xlpm.uc&amp;" uncommitted items",ROUND(SUM(_xlfn._xlws.FILTER('Fake Simplified View'!F2:F143,_xlpm.um,0)),2),ROUND(SUM(_xlfn._xlws.FILTER('Fake Simplified View'!G2:G143,_xlpm.um,0)),2),ROUND(SUM(_xlfn._xlws.FILTER('Fake Simplified View'!H2:H143,_xlpm.um,0)),2))))</f>
        <v>Committed summary</v>
      </c>
      <c r="H180" s="109" t="str">
        <v>V1 budget</v>
      </c>
      <c r="I180" s="109" t="str">
        <v>Renewal price</v>
      </c>
      <c r="J180" s="109" t="str">
        <v>Costout</v>
      </c>
    </row>
    <row r="181" spans="1:10" x14ac:dyDescent="0.25">
      <c r="A181" t="str">
        <v>No committed new spend items</v>
      </c>
      <c r="B181" t="str">
        <v/>
      </c>
      <c r="C181" s="109" t="str">
        <v/>
      </c>
      <c r="D181" s="109" t="str">
        <v/>
      </c>
      <c r="E181" s="109" t="str">
        <v/>
      </c>
      <c r="G181" t="str">
        <v>0 committed items</v>
      </c>
      <c r="H181" s="109">
        <v>0</v>
      </c>
      <c r="I181" s="109">
        <v>0</v>
      </c>
      <c r="J181" s="109">
        <v>0</v>
      </c>
    </row>
    <row r="182" spans="1:10" x14ac:dyDescent="0.25">
      <c r="A182" t="str">
        <v/>
      </c>
      <c r="B182" t="str">
        <v/>
      </c>
      <c r="C182" s="109" t="str">
        <v/>
      </c>
      <c r="D182" s="109" t="str">
        <v/>
      </c>
      <c r="E182" s="109" t="str">
        <v/>
      </c>
      <c r="G182" t="str">
        <v/>
      </c>
      <c r="H182" s="109" t="str">
        <v/>
      </c>
      <c r="I182" s="109" t="str">
        <v/>
      </c>
      <c r="J182" s="109" t="str">
        <v/>
      </c>
    </row>
    <row r="183" spans="1:10" x14ac:dyDescent="0.25">
      <c r="A183" t="str">
        <v/>
      </c>
      <c r="B183" t="str">
        <v/>
      </c>
      <c r="C183" s="109" t="str">
        <v/>
      </c>
      <c r="D183" s="109" t="str">
        <v/>
      </c>
      <c r="E183" s="109" t="str">
        <v/>
      </c>
      <c r="G183" t="str">
        <v/>
      </c>
      <c r="H183" s="109" t="str">
        <v/>
      </c>
      <c r="I183" s="109" t="str">
        <v/>
      </c>
      <c r="J183" s="109" t="str">
        <v/>
      </c>
    </row>
    <row r="184" spans="1:10" ht="18.75" x14ac:dyDescent="0.3">
      <c r="A184" s="116" t="str">
        <v>Upcoming new spend vendors</v>
      </c>
      <c r="B184" t="str">
        <v/>
      </c>
      <c r="C184" s="109" t="str">
        <v/>
      </c>
      <c r="D184" s="109" t="str">
        <v/>
      </c>
      <c r="E184" s="109" t="str">
        <v/>
      </c>
      <c r="G184" t="str">
        <v/>
      </c>
      <c r="H184" s="109" t="str">
        <v/>
      </c>
      <c r="I184" s="109" t="str">
        <v/>
      </c>
      <c r="J184" s="109" t="str">
        <v/>
      </c>
    </row>
    <row r="185" spans="1:10" x14ac:dyDescent="0.25">
      <c r="A185" t="str">
        <v>Vendor</v>
      </c>
      <c r="B185" t="str">
        <v>Contract</v>
      </c>
      <c r="C185" s="109" t="str">
        <v>V1 budget</v>
      </c>
      <c r="D185" s="109" t="str">
        <v>Renewal price</v>
      </c>
      <c r="E185" s="109" t="str">
        <v>Costout</v>
      </c>
      <c r="G185" t="str">
        <v>Upcoming summary</v>
      </c>
      <c r="H185" s="109" t="str">
        <v>V1 budget</v>
      </c>
      <c r="I185" s="109" t="str">
        <v>Renewal price</v>
      </c>
      <c r="J185" s="109" t="str">
        <v>Costout</v>
      </c>
    </row>
    <row r="186" spans="1:10" x14ac:dyDescent="0.25">
      <c r="A186" t="str">
        <v>Example Vendor 030</v>
      </c>
      <c r="B186" t="str">
        <v>Example Contract 032</v>
      </c>
      <c r="C186" s="109">
        <v>99999.999999999985</v>
      </c>
      <c r="D186" s="109">
        <v>100000</v>
      </c>
      <c r="E186" s="109">
        <v>0</v>
      </c>
      <c r="G186" t="str">
        <v>10 uncommitted items</v>
      </c>
      <c r="H186" s="109">
        <v>458748.67</v>
      </c>
      <c r="I186" s="109">
        <v>458748.67</v>
      </c>
      <c r="J186" s="109">
        <v>0</v>
      </c>
    </row>
    <row r="187" spans="1:10" x14ac:dyDescent="0.25">
      <c r="A187" t="str">
        <v>Example Vendor 041</v>
      </c>
      <c r="B187" t="str">
        <v>Example Contract 047</v>
      </c>
      <c r="C187" s="109">
        <v>7830</v>
      </c>
      <c r="D187" s="109">
        <v>7830</v>
      </c>
      <c r="E187" s="109">
        <v>0</v>
      </c>
      <c r="H187" s="109"/>
      <c r="I187" s="109"/>
      <c r="J187" s="109"/>
    </row>
    <row r="188" spans="1:10" x14ac:dyDescent="0.25">
      <c r="A188" t="str">
        <v>Example Vendor 050</v>
      </c>
      <c r="B188" t="str">
        <v>Example Contract 057</v>
      </c>
      <c r="C188" s="109">
        <v>875</v>
      </c>
      <c r="D188" s="109">
        <v>875</v>
      </c>
      <c r="E188" s="109">
        <v>0</v>
      </c>
      <c r="H188" s="109"/>
      <c r="I188" s="109"/>
      <c r="J188" s="109"/>
    </row>
    <row r="189" spans="1:10" x14ac:dyDescent="0.25">
      <c r="A189" t="str">
        <v>Example Vendor 065</v>
      </c>
      <c r="B189" t="str">
        <v>Example Contract 085</v>
      </c>
      <c r="C189" s="109">
        <v>10000</v>
      </c>
      <c r="D189" s="109">
        <v>10000</v>
      </c>
      <c r="E189" s="109">
        <v>0</v>
      </c>
      <c r="H189" s="109"/>
      <c r="I189" s="109"/>
      <c r="J189" s="109"/>
    </row>
    <row r="190" spans="1:10" x14ac:dyDescent="0.25">
      <c r="A190" t="str">
        <v>Example Vendor 074</v>
      </c>
      <c r="B190" t="str">
        <v>Example Contract 106</v>
      </c>
      <c r="C190" s="109">
        <v>1377</v>
      </c>
      <c r="D190" s="109">
        <v>1377</v>
      </c>
      <c r="E190" s="109">
        <v>0</v>
      </c>
      <c r="H190" s="109"/>
      <c r="I190" s="109"/>
      <c r="J190" s="109"/>
    </row>
    <row r="191" spans="1:10" x14ac:dyDescent="0.25">
      <c r="A191" t="str">
        <v>Example Vendor 075</v>
      </c>
      <c r="B191" t="str">
        <v>Example Contract 107</v>
      </c>
      <c r="C191" s="109">
        <v>80000</v>
      </c>
      <c r="D191" s="109">
        <v>80000</v>
      </c>
      <c r="E191" s="109">
        <v>0</v>
      </c>
      <c r="H191" s="109"/>
      <c r="I191" s="109"/>
      <c r="J191" s="109"/>
    </row>
    <row r="192" spans="1:10" x14ac:dyDescent="0.25">
      <c r="A192" t="str">
        <v>Example Vendor 076</v>
      </c>
      <c r="B192" t="str">
        <v>Example Contract 108</v>
      </c>
      <c r="C192" s="109">
        <v>2000</v>
      </c>
      <c r="D192" s="109">
        <v>2000</v>
      </c>
      <c r="E192" s="109">
        <v>0</v>
      </c>
      <c r="H192" s="109"/>
      <c r="I192" s="109"/>
      <c r="J192" s="109"/>
    </row>
    <row r="193" spans="1:10" x14ac:dyDescent="0.25">
      <c r="A193" t="str">
        <v>Example Vendor 080</v>
      </c>
      <c r="B193" t="str">
        <v>Example Contract 113</v>
      </c>
      <c r="C193" s="109">
        <v>50000</v>
      </c>
      <c r="D193" s="109">
        <v>50000</v>
      </c>
      <c r="E193" s="109">
        <v>0</v>
      </c>
      <c r="H193" s="109"/>
      <c r="I193" s="109"/>
      <c r="J193" s="109"/>
    </row>
    <row r="194" spans="1:10" x14ac:dyDescent="0.25">
      <c r="A194" t="str">
        <v>Example Vendor 088</v>
      </c>
      <c r="B194" t="str">
        <v>Example Contract 121</v>
      </c>
      <c r="C194" s="109">
        <v>186666.67</v>
      </c>
      <c r="D194" s="109">
        <v>186666.67</v>
      </c>
      <c r="E194" s="109">
        <v>0</v>
      </c>
      <c r="H194" s="109"/>
      <c r="I194" s="109"/>
      <c r="J194" s="109"/>
    </row>
    <row r="195" spans="1:10" x14ac:dyDescent="0.25">
      <c r="A195" t="str">
        <v>Example Vendor 093</v>
      </c>
      <c r="B195" t="str">
        <v>Example Contract 126</v>
      </c>
      <c r="C195" s="109">
        <v>20000</v>
      </c>
      <c r="D195" s="109">
        <v>20000</v>
      </c>
      <c r="E195" s="109">
        <v>0</v>
      </c>
      <c r="H195" s="109"/>
      <c r="I195" s="109"/>
      <c r="J195" s="109"/>
    </row>
    <row r="196" spans="1:10" x14ac:dyDescent="0.25">
      <c r="A196"/>
      <c r="B196"/>
      <c r="C196" s="109"/>
      <c r="D196" s="109"/>
      <c r="E196" s="109"/>
      <c r="H196" s="109"/>
      <c r="I196" s="109"/>
      <c r="J196" s="109"/>
    </row>
    <row r="197" spans="1:10" x14ac:dyDescent="0.25">
      <c r="A197"/>
      <c r="B197"/>
      <c r="C197" s="109"/>
      <c r="D197" s="109"/>
      <c r="E197" s="109"/>
      <c r="H197" s="109"/>
      <c r="I197" s="109"/>
      <c r="J197" s="109"/>
    </row>
    <row r="198" spans="1:10" x14ac:dyDescent="0.25">
      <c r="A198"/>
      <c r="B198"/>
      <c r="C198" s="109"/>
      <c r="D198" s="109"/>
      <c r="E198" s="109"/>
      <c r="H198" s="109"/>
      <c r="I198" s="109"/>
      <c r="J198" s="109"/>
    </row>
    <row r="199" spans="1:10" x14ac:dyDescent="0.25">
      <c r="A199"/>
      <c r="B199"/>
      <c r="C199" s="109"/>
      <c r="D199" s="109"/>
      <c r="E199" s="109"/>
      <c r="H199" s="109"/>
      <c r="I199" s="109"/>
      <c r="J199" s="109"/>
    </row>
    <row r="200" spans="1:10" x14ac:dyDescent="0.25">
      <c r="A200"/>
      <c r="B200"/>
      <c r="C200" s="109"/>
      <c r="D200" s="109"/>
      <c r="E200" s="109"/>
      <c r="H200" s="109"/>
      <c r="I200" s="109"/>
      <c r="J200" s="109"/>
    </row>
    <row r="201" spans="1:10" x14ac:dyDescent="0.25">
      <c r="A201"/>
      <c r="B201"/>
      <c r="C201" s="109"/>
      <c r="D201" s="109"/>
      <c r="E201" s="109"/>
      <c r="H201" s="109"/>
      <c r="I201" s="109"/>
      <c r="J201" s="109"/>
    </row>
    <row r="202" spans="1:10" x14ac:dyDescent="0.25">
      <c r="A202"/>
      <c r="B202"/>
      <c r="C202" s="109"/>
      <c r="D202" s="109"/>
      <c r="E202" s="109"/>
      <c r="H202" s="109"/>
      <c r="I202" s="109"/>
      <c r="J202" s="109"/>
    </row>
    <row r="203" spans="1:10" x14ac:dyDescent="0.25">
      <c r="A203"/>
      <c r="B203"/>
      <c r="C203" s="109"/>
      <c r="D203" s="109"/>
      <c r="E203" s="109"/>
      <c r="H203" s="109"/>
      <c r="I203" s="109"/>
      <c r="J203" s="109"/>
    </row>
    <row r="204" spans="1:10" x14ac:dyDescent="0.25">
      <c r="A204"/>
      <c r="B204"/>
      <c r="C204" s="109"/>
      <c r="D204" s="109"/>
      <c r="E204" s="109"/>
      <c r="H204" s="109"/>
      <c r="I204" s="109"/>
      <c r="J204" s="109"/>
    </row>
    <row r="205" spans="1:10" x14ac:dyDescent="0.25">
      <c r="A205"/>
      <c r="B205"/>
      <c r="C205" s="109"/>
      <c r="D205" s="109"/>
      <c r="E205" s="109"/>
      <c r="H205" s="109"/>
      <c r="I205" s="109"/>
      <c r="J205" s="109"/>
    </row>
    <row r="206" spans="1:10" x14ac:dyDescent="0.25">
      <c r="A206"/>
      <c r="B206"/>
      <c r="C206" s="109"/>
      <c r="D206" s="109"/>
      <c r="E206" s="109"/>
      <c r="H206" s="109"/>
      <c r="I206" s="109"/>
      <c r="J206" s="109"/>
    </row>
    <row r="207" spans="1:10" x14ac:dyDescent="0.25">
      <c r="A207"/>
      <c r="B207"/>
      <c r="C207" s="109"/>
      <c r="D207" s="109"/>
      <c r="E207" s="109"/>
      <c r="H207" s="109"/>
      <c r="I207" s="109"/>
      <c r="J207" s="109"/>
    </row>
    <row r="208" spans="1:10" x14ac:dyDescent="0.25">
      <c r="A208"/>
      <c r="B208"/>
      <c r="C208" s="109"/>
      <c r="D208" s="109"/>
      <c r="E208" s="109"/>
      <c r="H208" s="109"/>
      <c r="I208" s="109"/>
      <c r="J208" s="109"/>
    </row>
    <row r="209" spans="1:10" x14ac:dyDescent="0.25">
      <c r="A209"/>
      <c r="B209"/>
      <c r="C209" s="109"/>
      <c r="D209" s="109"/>
      <c r="E209" s="109"/>
      <c r="H209" s="109"/>
      <c r="I209" s="109"/>
      <c r="J209" s="109"/>
    </row>
    <row r="210" spans="1:10" x14ac:dyDescent="0.25">
      <c r="A210"/>
      <c r="B210"/>
      <c r="C210" s="109"/>
      <c r="D210" s="109"/>
      <c r="E210" s="109"/>
      <c r="H210" s="109"/>
      <c r="I210" s="109"/>
      <c r="J210" s="109"/>
    </row>
    <row r="211" spans="1:10" x14ac:dyDescent="0.25">
      <c r="A211"/>
      <c r="B211"/>
      <c r="C211" s="109"/>
      <c r="D211" s="109"/>
      <c r="E211" s="109"/>
      <c r="H211" s="109"/>
      <c r="I211" s="109"/>
      <c r="J211" s="109"/>
    </row>
    <row r="212" spans="1:10" x14ac:dyDescent="0.25">
      <c r="A212"/>
      <c r="B212"/>
      <c r="C212" s="109"/>
      <c r="D212" s="109"/>
      <c r="E212" s="109"/>
      <c r="H212" s="109"/>
      <c r="I212" s="109"/>
      <c r="J212" s="109"/>
    </row>
    <row r="213" spans="1:10" x14ac:dyDescent="0.25">
      <c r="A213"/>
      <c r="B213"/>
      <c r="C213" s="109"/>
      <c r="D213" s="109"/>
      <c r="E213" s="109"/>
      <c r="H213" s="109"/>
      <c r="I213" s="109"/>
      <c r="J213" s="109"/>
    </row>
    <row r="214" spans="1:10" x14ac:dyDescent="0.25">
      <c r="A214"/>
      <c r="B214"/>
      <c r="C214" s="109"/>
      <c r="D214" s="109"/>
      <c r="E214" s="109"/>
      <c r="H214" s="109"/>
      <c r="I214" s="109"/>
      <c r="J214" s="109"/>
    </row>
    <row r="215" spans="1:10" x14ac:dyDescent="0.25">
      <c r="A215"/>
      <c r="B215"/>
      <c r="C215" s="109"/>
      <c r="D215" s="109"/>
      <c r="E215" s="109"/>
      <c r="H215" s="109"/>
      <c r="I215" s="109"/>
      <c r="J215" s="109"/>
    </row>
    <row r="216" spans="1:10" x14ac:dyDescent="0.25">
      <c r="A216"/>
      <c r="B216"/>
      <c r="C216" s="109"/>
      <c r="D216" s="109"/>
      <c r="E216" s="109"/>
      <c r="H216" s="109"/>
      <c r="I216" s="109"/>
      <c r="J216" s="109"/>
    </row>
    <row r="217" spans="1:10" x14ac:dyDescent="0.25">
      <c r="A217"/>
      <c r="B217"/>
      <c r="C217" s="109"/>
      <c r="D217" s="109"/>
      <c r="E217" s="109"/>
      <c r="H217" s="109"/>
      <c r="I217" s="109"/>
      <c r="J217" s="109"/>
    </row>
    <row r="218" spans="1:10" x14ac:dyDescent="0.25">
      <c r="A218"/>
      <c r="B218"/>
      <c r="C218" s="109"/>
      <c r="D218" s="109"/>
      <c r="E218" s="109"/>
      <c r="H218" s="109"/>
      <c r="I218" s="109"/>
      <c r="J218" s="109"/>
    </row>
    <row r="219" spans="1:10" x14ac:dyDescent="0.25">
      <c r="A219"/>
      <c r="B219"/>
      <c r="C219" s="109"/>
      <c r="D219" s="109"/>
      <c r="E219" s="109"/>
      <c r="H219" s="109"/>
      <c r="I219" s="109"/>
      <c r="J219" s="109"/>
    </row>
    <row r="220" spans="1:10" x14ac:dyDescent="0.25">
      <c r="A220"/>
      <c r="B220"/>
      <c r="C220" s="109"/>
      <c r="D220" s="109"/>
      <c r="E220" s="109"/>
      <c r="H220" s="109"/>
      <c r="I220" s="109"/>
      <c r="J220" s="109"/>
    </row>
    <row r="221" spans="1:10" x14ac:dyDescent="0.25">
      <c r="A221"/>
      <c r="B221"/>
      <c r="C221" s="109"/>
      <c r="D221" s="109"/>
      <c r="E221" s="109"/>
      <c r="H221" s="109"/>
      <c r="I221" s="109"/>
      <c r="J221" s="109"/>
    </row>
    <row r="222" spans="1:10" x14ac:dyDescent="0.25">
      <c r="A222"/>
      <c r="B222"/>
      <c r="C222" s="109"/>
      <c r="D222" s="109"/>
      <c r="E222" s="109"/>
      <c r="H222" s="109"/>
      <c r="I222" s="109"/>
      <c r="J222" s="109"/>
    </row>
    <row r="223" spans="1:10" x14ac:dyDescent="0.25">
      <c r="A223"/>
      <c r="B223"/>
      <c r="C223" s="109"/>
      <c r="D223" s="109"/>
      <c r="E223" s="109"/>
      <c r="H223" s="109"/>
      <c r="I223" s="109"/>
      <c r="J223" s="109"/>
    </row>
    <row r="224" spans="1:10" x14ac:dyDescent="0.25">
      <c r="A224"/>
      <c r="B224"/>
      <c r="C224" s="109"/>
      <c r="D224" s="109"/>
      <c r="E224" s="109"/>
      <c r="H224" s="109"/>
      <c r="I224" s="109"/>
      <c r="J224" s="109"/>
    </row>
    <row r="225" spans="1:10" x14ac:dyDescent="0.25">
      <c r="A225"/>
      <c r="B225"/>
      <c r="C225" s="109"/>
      <c r="D225" s="109"/>
      <c r="E225" s="109"/>
      <c r="H225" s="109"/>
      <c r="I225" s="109"/>
      <c r="J225" s="109"/>
    </row>
    <row r="226" spans="1:10" x14ac:dyDescent="0.25">
      <c r="A226"/>
      <c r="B226"/>
      <c r="C226" s="109"/>
      <c r="D226" s="109"/>
      <c r="E226" s="109"/>
      <c r="H226" s="109"/>
      <c r="I226" s="109"/>
      <c r="J226" s="109"/>
    </row>
    <row r="227" spans="1:10" x14ac:dyDescent="0.25">
      <c r="A227"/>
      <c r="B227"/>
      <c r="C227" s="109"/>
      <c r="D227" s="109"/>
      <c r="E227" s="109"/>
      <c r="H227" s="109"/>
      <c r="I227" s="109"/>
      <c r="J227" s="109"/>
    </row>
    <row r="228" spans="1:10" x14ac:dyDescent="0.25">
      <c r="A228"/>
      <c r="B228"/>
      <c r="C228" s="109"/>
      <c r="D228" s="109"/>
      <c r="E228" s="109"/>
      <c r="H228" s="109"/>
      <c r="I228" s="109"/>
      <c r="J228" s="109"/>
    </row>
    <row r="229" spans="1:10" x14ac:dyDescent="0.25">
      <c r="A229"/>
      <c r="B229"/>
      <c r="C229" s="109"/>
      <c r="D229" s="109"/>
      <c r="E229" s="109"/>
      <c r="H229" s="109"/>
      <c r="I229" s="109"/>
      <c r="J229" s="109"/>
    </row>
    <row r="230" spans="1:10" x14ac:dyDescent="0.25">
      <c r="A230"/>
      <c r="B230"/>
      <c r="C230" s="109"/>
      <c r="D230" s="109"/>
      <c r="E230" s="109"/>
      <c r="H230" s="109"/>
      <c r="I230" s="109"/>
      <c r="J230" s="109"/>
    </row>
    <row r="231" spans="1:10" x14ac:dyDescent="0.25">
      <c r="A231"/>
      <c r="B231"/>
      <c r="C231" s="109"/>
      <c r="D231" s="109"/>
      <c r="E231" s="109"/>
      <c r="H231" s="109"/>
      <c r="I231" s="109"/>
      <c r="J231" s="109"/>
    </row>
    <row r="232" spans="1:10" x14ac:dyDescent="0.25">
      <c r="A232"/>
      <c r="B232"/>
      <c r="C232" s="109"/>
      <c r="D232" s="109"/>
      <c r="E232" s="109"/>
      <c r="H232" s="109"/>
      <c r="I232" s="109"/>
      <c r="J232" s="109"/>
    </row>
    <row r="233" spans="1:10" x14ac:dyDescent="0.25">
      <c r="A233"/>
      <c r="B233"/>
      <c r="C233" s="109"/>
      <c r="D233" s="109"/>
      <c r="E233" s="109"/>
      <c r="H233" s="109"/>
      <c r="I233" s="109"/>
      <c r="J233" s="109"/>
    </row>
    <row r="234" spans="1:10" x14ac:dyDescent="0.25">
      <c r="A234"/>
      <c r="B234"/>
      <c r="C234" s="109"/>
      <c r="D234" s="109"/>
      <c r="E234" s="109"/>
      <c r="H234" s="109"/>
      <c r="I234" s="109"/>
      <c r="J234" s="109"/>
    </row>
    <row r="235" spans="1:10" x14ac:dyDescent="0.25">
      <c r="A235"/>
      <c r="B235"/>
      <c r="C235" s="109"/>
      <c r="D235" s="109"/>
      <c r="E235" s="109"/>
      <c r="H235" s="109"/>
      <c r="I235" s="109"/>
      <c r="J235" s="109"/>
    </row>
    <row r="236" spans="1:10" x14ac:dyDescent="0.25">
      <c r="A236"/>
      <c r="B236"/>
      <c r="C236" s="109"/>
      <c r="D236" s="109"/>
      <c r="E236" s="109"/>
      <c r="H236" s="109"/>
      <c r="I236" s="109"/>
      <c r="J236" s="109"/>
    </row>
    <row r="237" spans="1:10" x14ac:dyDescent="0.25">
      <c r="A237"/>
      <c r="B237"/>
      <c r="C237" s="109"/>
      <c r="D237" s="109"/>
      <c r="E237" s="109"/>
      <c r="H237" s="109"/>
      <c r="I237" s="109"/>
      <c r="J237" s="109"/>
    </row>
    <row r="238" spans="1:10" x14ac:dyDescent="0.25">
      <c r="A238"/>
      <c r="B238"/>
      <c r="C238" s="109"/>
      <c r="D238" s="109"/>
      <c r="E238" s="109"/>
      <c r="H238" s="109"/>
      <c r="I238" s="109"/>
      <c r="J238" s="109"/>
    </row>
    <row r="239" spans="1:10" x14ac:dyDescent="0.25">
      <c r="A239"/>
      <c r="B239"/>
      <c r="C239" s="109"/>
      <c r="D239" s="109"/>
      <c r="E239" s="109"/>
      <c r="H239" s="109"/>
      <c r="I239" s="109"/>
      <c r="J239" s="109"/>
    </row>
    <row r="240" spans="1:10" x14ac:dyDescent="0.25">
      <c r="A240"/>
      <c r="B240"/>
      <c r="C240" s="109"/>
      <c r="D240" s="109"/>
      <c r="E240" s="109"/>
      <c r="H240" s="109"/>
      <c r="I240" s="109"/>
      <c r="J240" s="109"/>
    </row>
    <row r="241" spans="1:10" x14ac:dyDescent="0.25">
      <c r="A241"/>
      <c r="B241"/>
      <c r="C241" s="109"/>
      <c r="D241" s="109"/>
      <c r="E241" s="109"/>
      <c r="H241" s="109"/>
      <c r="I241" s="109"/>
      <c r="J241" s="109"/>
    </row>
    <row r="242" spans="1:10" x14ac:dyDescent="0.25">
      <c r="A242"/>
      <c r="B242"/>
      <c r="C242" s="109"/>
      <c r="D242" s="109"/>
      <c r="E242" s="109"/>
      <c r="H242" s="109"/>
      <c r="I242" s="109"/>
      <c r="J242" s="109"/>
    </row>
    <row r="243" spans="1:10" x14ac:dyDescent="0.25">
      <c r="A243"/>
      <c r="B243"/>
      <c r="C243" s="109"/>
      <c r="D243" s="109"/>
      <c r="E243" s="109"/>
      <c r="H243" s="109"/>
      <c r="I243" s="109"/>
      <c r="J243" s="109"/>
    </row>
    <row r="244" spans="1:10" x14ac:dyDescent="0.25">
      <c r="A244"/>
      <c r="B244"/>
      <c r="C244" s="109"/>
      <c r="D244" s="109"/>
      <c r="E244" s="109"/>
      <c r="H244" s="109"/>
      <c r="I244" s="109"/>
      <c r="J244" s="109"/>
    </row>
    <row r="245" spans="1:10" x14ac:dyDescent="0.25">
      <c r="A245"/>
      <c r="B245"/>
      <c r="C245" s="109"/>
      <c r="D245" s="109"/>
      <c r="E245" s="109"/>
      <c r="H245" s="109"/>
      <c r="I245" s="109"/>
      <c r="J245" s="109"/>
    </row>
    <row r="246" spans="1:10" x14ac:dyDescent="0.25">
      <c r="A246"/>
      <c r="B246"/>
      <c r="C246" s="109"/>
      <c r="D246" s="109"/>
      <c r="E246" s="109"/>
      <c r="H246" s="109"/>
      <c r="I246" s="109"/>
      <c r="J246" s="109"/>
    </row>
    <row r="247" spans="1:10" x14ac:dyDescent="0.25">
      <c r="A247"/>
      <c r="B247"/>
      <c r="C247" s="109"/>
      <c r="D247" s="109"/>
      <c r="E247" s="109"/>
      <c r="H247" s="109"/>
      <c r="I247" s="109"/>
      <c r="J247" s="109"/>
    </row>
    <row r="248" spans="1:10" x14ac:dyDescent="0.25">
      <c r="A248"/>
      <c r="B248"/>
      <c r="C248" s="109"/>
      <c r="D248" s="109"/>
      <c r="E248" s="109"/>
      <c r="H248" s="109"/>
      <c r="I248" s="109"/>
      <c r="J248" s="109"/>
    </row>
    <row r="249" spans="1:10" x14ac:dyDescent="0.25">
      <c r="A249"/>
      <c r="B249"/>
      <c r="C249" s="109"/>
      <c r="D249" s="109"/>
      <c r="E249" s="109"/>
      <c r="H249" s="109"/>
      <c r="I249" s="109"/>
      <c r="J249" s="109"/>
    </row>
    <row r="250" spans="1:10" x14ac:dyDescent="0.25">
      <c r="A250"/>
      <c r="B250"/>
      <c r="C250" s="109"/>
      <c r="D250" s="109"/>
      <c r="E250" s="109"/>
      <c r="H250" s="109"/>
      <c r="I250" s="109"/>
      <c r="J250" s="109"/>
    </row>
    <row r="251" spans="1:10" x14ac:dyDescent="0.25">
      <c r="A251"/>
      <c r="B251"/>
      <c r="C251" s="109"/>
      <c r="D251" s="109"/>
      <c r="E251" s="109"/>
      <c r="H251" s="109"/>
      <c r="I251" s="109"/>
      <c r="J251" s="109"/>
    </row>
    <row r="252" spans="1:10" x14ac:dyDescent="0.25">
      <c r="A252"/>
      <c r="B252"/>
      <c r="C252" s="109"/>
      <c r="D252" s="109"/>
      <c r="E252" s="109"/>
      <c r="H252" s="109"/>
      <c r="I252" s="109"/>
      <c r="J252" s="109"/>
    </row>
    <row r="253" spans="1:10" x14ac:dyDescent="0.25">
      <c r="A253"/>
      <c r="B253"/>
      <c r="C253" s="109"/>
      <c r="D253" s="109"/>
      <c r="E253" s="109"/>
      <c r="H253" s="109"/>
      <c r="I253" s="109"/>
      <c r="J253" s="109"/>
    </row>
    <row r="254" spans="1:10" x14ac:dyDescent="0.25">
      <c r="A254"/>
      <c r="B254"/>
      <c r="C254" s="109"/>
      <c r="D254" s="109"/>
      <c r="E254" s="109"/>
      <c r="H254" s="109"/>
      <c r="I254" s="109"/>
      <c r="J254" s="109"/>
    </row>
    <row r="255" spans="1:10" x14ac:dyDescent="0.25">
      <c r="A255"/>
      <c r="B255"/>
      <c r="C255" s="109"/>
      <c r="D255" s="109"/>
      <c r="E255" s="109"/>
      <c r="H255" s="109"/>
      <c r="I255" s="109"/>
      <c r="J255" s="109"/>
    </row>
    <row r="256" spans="1:10" x14ac:dyDescent="0.25">
      <c r="A256"/>
      <c r="B256"/>
      <c r="C256" s="109"/>
      <c r="D256" s="109"/>
      <c r="E256" s="109"/>
      <c r="H256" s="109"/>
      <c r="I256" s="109"/>
      <c r="J256" s="109"/>
    </row>
    <row r="257" spans="1:10" x14ac:dyDescent="0.25">
      <c r="A257"/>
      <c r="B257"/>
      <c r="C257" s="109"/>
      <c r="D257" s="109"/>
      <c r="E257" s="109"/>
      <c r="H257" s="109"/>
      <c r="I257" s="109"/>
      <c r="J257" s="109"/>
    </row>
    <row r="258" spans="1:10" x14ac:dyDescent="0.25">
      <c r="A258"/>
      <c r="B258"/>
      <c r="C258" s="109"/>
      <c r="D258" s="109"/>
      <c r="E258" s="109"/>
      <c r="H258" s="109"/>
      <c r="I258" s="109"/>
      <c r="J258" s="109"/>
    </row>
    <row r="259" spans="1:10" x14ac:dyDescent="0.25">
      <c r="A259"/>
      <c r="B259"/>
      <c r="C259" s="109"/>
      <c r="D259" s="109"/>
      <c r="E259" s="109"/>
      <c r="H259" s="109"/>
      <c r="I259" s="109"/>
      <c r="J259" s="109"/>
    </row>
    <row r="260" spans="1:10" x14ac:dyDescent="0.25">
      <c r="A260"/>
      <c r="B260"/>
      <c r="C260" s="109"/>
      <c r="D260" s="109"/>
      <c r="E260" s="109"/>
      <c r="H260" s="109"/>
      <c r="I260" s="109"/>
      <c r="J260" s="109"/>
    </row>
    <row r="261" spans="1:10" x14ac:dyDescent="0.25">
      <c r="A261"/>
      <c r="B261"/>
      <c r="C261" s="109"/>
      <c r="D261" s="109"/>
      <c r="E261" s="109"/>
      <c r="H261" s="109"/>
      <c r="I261" s="109"/>
      <c r="J261" s="109"/>
    </row>
    <row r="262" spans="1:10" x14ac:dyDescent="0.25">
      <c r="A262"/>
      <c r="B262"/>
      <c r="C262" s="109"/>
      <c r="D262" s="109"/>
      <c r="E262" s="109"/>
      <c r="H262" s="109"/>
      <c r="I262" s="109"/>
      <c r="J262" s="109"/>
    </row>
    <row r="263" spans="1:10" x14ac:dyDescent="0.25">
      <c r="A263"/>
      <c r="B263"/>
      <c r="C263" s="109"/>
      <c r="D263" s="109"/>
      <c r="E263" s="109"/>
      <c r="H263" s="109"/>
      <c r="I263" s="109"/>
      <c r="J263" s="109"/>
    </row>
    <row r="264" spans="1:10" x14ac:dyDescent="0.25">
      <c r="A264"/>
      <c r="B264"/>
      <c r="C264" s="109"/>
      <c r="D264" s="109"/>
      <c r="E264" s="109"/>
      <c r="H264" s="109"/>
      <c r="I264" s="109"/>
      <c r="J264" s="109"/>
    </row>
    <row r="265" spans="1:10" x14ac:dyDescent="0.25">
      <c r="A265"/>
      <c r="B265"/>
      <c r="C265" s="109"/>
      <c r="D265" s="109"/>
      <c r="E265" s="109"/>
      <c r="H265" s="109"/>
      <c r="I265" s="109"/>
      <c r="J265" s="109"/>
    </row>
    <row r="266" spans="1:10" x14ac:dyDescent="0.25">
      <c r="A266"/>
      <c r="B266"/>
      <c r="C266" s="109"/>
      <c r="D266" s="109"/>
      <c r="E266" s="109"/>
      <c r="H266" s="109"/>
      <c r="I266" s="109"/>
      <c r="J266" s="109"/>
    </row>
    <row r="267" spans="1:10" x14ac:dyDescent="0.25">
      <c r="A267"/>
      <c r="B267"/>
      <c r="C267" s="109"/>
      <c r="D267" s="109"/>
      <c r="E267" s="109"/>
      <c r="H267" s="109"/>
      <c r="I267" s="109"/>
      <c r="J267" s="109"/>
    </row>
    <row r="268" spans="1:10" x14ac:dyDescent="0.25">
      <c r="A268"/>
      <c r="B268"/>
      <c r="C268" s="109"/>
      <c r="D268" s="109"/>
      <c r="E268" s="109"/>
      <c r="H268" s="109"/>
      <c r="I268" s="109"/>
      <c r="J268" s="109"/>
    </row>
    <row r="269" spans="1:10" x14ac:dyDescent="0.25">
      <c r="A269"/>
      <c r="B269"/>
      <c r="C269" s="109"/>
      <c r="D269" s="109"/>
      <c r="E269" s="109"/>
      <c r="H269" s="109"/>
      <c r="I269" s="109"/>
      <c r="J269" s="109"/>
    </row>
    <row r="270" spans="1:10" x14ac:dyDescent="0.25">
      <c r="A270"/>
      <c r="B270"/>
      <c r="C270" s="109"/>
      <c r="D270" s="109"/>
      <c r="E270" s="109"/>
      <c r="H270" s="109"/>
      <c r="I270" s="109"/>
      <c r="J270" s="109"/>
    </row>
    <row r="271" spans="1:10" x14ac:dyDescent="0.25">
      <c r="A271"/>
      <c r="B271"/>
      <c r="C271" s="109"/>
      <c r="D271" s="109"/>
      <c r="E271" s="109"/>
      <c r="H271" s="109"/>
      <c r="I271" s="109"/>
      <c r="J271" s="109"/>
    </row>
    <row r="272" spans="1:10" x14ac:dyDescent="0.25">
      <c r="A272"/>
      <c r="B272"/>
      <c r="C272" s="109"/>
      <c r="D272" s="109"/>
      <c r="E272" s="109"/>
      <c r="H272" s="109"/>
      <c r="I272" s="109"/>
      <c r="J272" s="109"/>
    </row>
    <row r="273" spans="1:10" x14ac:dyDescent="0.25">
      <c r="A273"/>
      <c r="B273"/>
      <c r="C273" s="109"/>
      <c r="D273" s="109"/>
      <c r="E273" s="109"/>
      <c r="H273" s="109"/>
      <c r="I273" s="109"/>
      <c r="J273" s="109"/>
    </row>
    <row r="274" spans="1:10" x14ac:dyDescent="0.25">
      <c r="A274"/>
      <c r="B274"/>
      <c r="C274" s="109"/>
      <c r="D274" s="109"/>
      <c r="E274" s="109"/>
      <c r="H274" s="109"/>
      <c r="I274" s="109"/>
      <c r="J274" s="109"/>
    </row>
    <row r="275" spans="1:10" x14ac:dyDescent="0.25">
      <c r="A275"/>
      <c r="B275"/>
      <c r="C275" s="109"/>
      <c r="D275" s="109"/>
      <c r="E275" s="109"/>
      <c r="H275" s="109"/>
      <c r="I275" s="109"/>
      <c r="J275" s="109"/>
    </row>
    <row r="276" spans="1:10" x14ac:dyDescent="0.25">
      <c r="A276"/>
      <c r="B276"/>
      <c r="C276" s="109"/>
      <c r="D276" s="109"/>
      <c r="E276" s="109"/>
      <c r="H276" s="109"/>
      <c r="I276" s="109"/>
      <c r="J276" s="109"/>
    </row>
    <row r="277" spans="1:10" x14ac:dyDescent="0.25">
      <c r="A277"/>
      <c r="B277"/>
      <c r="C277" s="109"/>
      <c r="D277" s="109"/>
      <c r="E277" s="109"/>
      <c r="H277" s="109"/>
      <c r="I277" s="109"/>
      <c r="J277" s="109"/>
    </row>
    <row r="278" spans="1:10" x14ac:dyDescent="0.25">
      <c r="A278"/>
      <c r="B278"/>
      <c r="C278" s="109"/>
      <c r="D278" s="109"/>
      <c r="E278" s="109"/>
      <c r="H278" s="109"/>
      <c r="I278" s="109"/>
      <c r="J278" s="109"/>
    </row>
    <row r="279" spans="1:10" x14ac:dyDescent="0.25">
      <c r="A279"/>
      <c r="B279"/>
      <c r="C279" s="109"/>
      <c r="D279" s="109"/>
      <c r="E279" s="109"/>
      <c r="H279" s="109"/>
      <c r="I279" s="109"/>
      <c r="J279" s="109"/>
    </row>
    <row r="280" spans="1:10" x14ac:dyDescent="0.25">
      <c r="A280"/>
      <c r="B280"/>
      <c r="C280" s="109"/>
      <c r="D280" s="109"/>
      <c r="E280" s="109"/>
      <c r="H280" s="109"/>
      <c r="I280" s="109"/>
      <c r="J280" s="109"/>
    </row>
    <row r="281" spans="1:10" x14ac:dyDescent="0.25">
      <c r="A281"/>
      <c r="B281"/>
      <c r="C281" s="109"/>
      <c r="D281" s="109"/>
      <c r="E281" s="109"/>
      <c r="H281" s="109"/>
      <c r="I281" s="109"/>
      <c r="J281" s="109"/>
    </row>
    <row r="282" spans="1:10" x14ac:dyDescent="0.25">
      <c r="A282"/>
      <c r="B282"/>
      <c r="C282" s="109"/>
      <c r="D282" s="109"/>
      <c r="E282" s="109"/>
      <c r="H282" s="109"/>
      <c r="I282" s="109"/>
      <c r="J282" s="109"/>
    </row>
    <row r="283" spans="1:10" x14ac:dyDescent="0.25">
      <c r="A283"/>
      <c r="B283"/>
      <c r="C283" s="109"/>
      <c r="D283" s="109"/>
      <c r="E283" s="109"/>
      <c r="H283" s="109"/>
      <c r="I283" s="109"/>
      <c r="J283" s="109"/>
    </row>
    <row r="284" spans="1:10" x14ac:dyDescent="0.25">
      <c r="A284"/>
      <c r="B284"/>
      <c r="C284" s="109"/>
      <c r="D284" s="109"/>
      <c r="E284" s="109"/>
      <c r="H284" s="109"/>
      <c r="I284" s="109"/>
      <c r="J284" s="109"/>
    </row>
    <row r="285" spans="1:10" x14ac:dyDescent="0.25">
      <c r="A285"/>
      <c r="B285"/>
      <c r="C285" s="109"/>
      <c r="D285" s="109"/>
      <c r="E285" s="109"/>
      <c r="H285" s="109"/>
      <c r="I285" s="109"/>
      <c r="J285" s="109"/>
    </row>
    <row r="286" spans="1:10" x14ac:dyDescent="0.25">
      <c r="A286"/>
      <c r="B286"/>
      <c r="C286" s="109"/>
      <c r="D286" s="109"/>
      <c r="E286" s="109"/>
      <c r="H286" s="109"/>
      <c r="I286" s="109"/>
      <c r="J286" s="109"/>
    </row>
    <row r="287" spans="1:10" x14ac:dyDescent="0.25">
      <c r="A287"/>
      <c r="B287"/>
      <c r="C287" s="109"/>
      <c r="D287" s="109"/>
      <c r="E287" s="109"/>
      <c r="H287" s="109"/>
      <c r="I287" s="109"/>
      <c r="J287" s="109"/>
    </row>
    <row r="288" spans="1:10" x14ac:dyDescent="0.25">
      <c r="A288"/>
      <c r="B288"/>
      <c r="C288" s="109"/>
      <c r="D288" s="109"/>
      <c r="E288" s="109"/>
      <c r="H288" s="109"/>
      <c r="I288" s="109"/>
      <c r="J288" s="109"/>
    </row>
    <row r="289" spans="1:10" x14ac:dyDescent="0.25">
      <c r="A289"/>
      <c r="B289"/>
      <c r="C289" s="109"/>
      <c r="D289" s="109"/>
      <c r="E289" s="109"/>
      <c r="H289" s="109"/>
      <c r="I289" s="109"/>
      <c r="J289" s="109"/>
    </row>
    <row r="290" spans="1:10" x14ac:dyDescent="0.25">
      <c r="A290"/>
      <c r="B290"/>
      <c r="C290" s="109"/>
      <c r="D290" s="109"/>
      <c r="E290" s="109"/>
      <c r="H290" s="109"/>
      <c r="I290" s="109"/>
      <c r="J290" s="109"/>
    </row>
    <row r="291" spans="1:10" x14ac:dyDescent="0.25">
      <c r="A291"/>
      <c r="B291"/>
      <c r="C291" s="109"/>
      <c r="D291" s="109"/>
      <c r="E291" s="109"/>
      <c r="H291" s="109"/>
      <c r="I291" s="109"/>
      <c r="J291" s="109"/>
    </row>
    <row r="292" spans="1:10" x14ac:dyDescent="0.25">
      <c r="A292"/>
      <c r="B292"/>
      <c r="C292" s="109"/>
      <c r="D292" s="109"/>
      <c r="E292" s="109"/>
      <c r="H292" s="109"/>
      <c r="I292" s="109"/>
      <c r="J292" s="109"/>
    </row>
    <row r="293" spans="1:10" x14ac:dyDescent="0.25">
      <c r="A293"/>
      <c r="B293"/>
      <c r="C293" s="109"/>
      <c r="D293" s="109"/>
      <c r="E293" s="109"/>
      <c r="H293" s="109"/>
      <c r="I293" s="109"/>
      <c r="J293" s="109"/>
    </row>
    <row r="294" spans="1:10" x14ac:dyDescent="0.25">
      <c r="A294"/>
      <c r="B294"/>
      <c r="C294" s="109"/>
      <c r="D294" s="109"/>
      <c r="E294" s="109"/>
      <c r="H294" s="109"/>
      <c r="I294" s="109"/>
      <c r="J294" s="109"/>
    </row>
    <row r="295" spans="1:10" x14ac:dyDescent="0.25">
      <c r="A295"/>
      <c r="B295"/>
      <c r="C295" s="109"/>
      <c r="D295" s="109"/>
      <c r="E295" s="109"/>
      <c r="H295" s="109"/>
      <c r="I295" s="109"/>
      <c r="J295" s="109"/>
    </row>
    <row r="296" spans="1:10" x14ac:dyDescent="0.25">
      <c r="A296"/>
      <c r="B296"/>
      <c r="C296" s="109"/>
      <c r="D296" s="109"/>
      <c r="E296" s="109"/>
      <c r="H296" s="109"/>
      <c r="I296" s="109"/>
      <c r="J296" s="109"/>
    </row>
    <row r="297" spans="1:10" x14ac:dyDescent="0.25">
      <c r="A297"/>
      <c r="B297"/>
      <c r="C297" s="109"/>
      <c r="D297" s="109"/>
      <c r="E297" s="109"/>
      <c r="H297" s="109"/>
      <c r="I297" s="109"/>
      <c r="J297" s="109"/>
    </row>
    <row r="298" spans="1:10" x14ac:dyDescent="0.25">
      <c r="A298"/>
      <c r="B298"/>
      <c r="C298" s="109"/>
      <c r="D298" s="109"/>
      <c r="E298" s="109"/>
      <c r="H298" s="109"/>
      <c r="I298" s="109"/>
      <c r="J298" s="109"/>
    </row>
    <row r="299" spans="1:10" x14ac:dyDescent="0.25">
      <c r="A299"/>
      <c r="B299"/>
      <c r="C299" s="109"/>
      <c r="D299" s="109"/>
      <c r="E299" s="109"/>
      <c r="H299" s="109"/>
      <c r="I299" s="109"/>
      <c r="J299" s="109"/>
    </row>
    <row r="300" spans="1:10" x14ac:dyDescent="0.25">
      <c r="A300"/>
      <c r="B300"/>
      <c r="C300" s="109"/>
      <c r="D300" s="109"/>
      <c r="E300" s="109"/>
      <c r="H300" s="109"/>
      <c r="I300" s="109"/>
      <c r="J300" s="109"/>
    </row>
    <row r="301" spans="1:10" x14ac:dyDescent="0.25">
      <c r="A301"/>
      <c r="B301"/>
      <c r="C301" s="109"/>
      <c r="D301" s="109"/>
      <c r="E301" s="109"/>
      <c r="H301" s="109"/>
      <c r="I301" s="109"/>
      <c r="J301" s="109"/>
    </row>
    <row r="302" spans="1:10" x14ac:dyDescent="0.25">
      <c r="A302"/>
      <c r="B302"/>
      <c r="C302" s="109"/>
      <c r="D302" s="109"/>
      <c r="E302" s="109"/>
      <c r="H302" s="109"/>
      <c r="I302" s="109"/>
      <c r="J302" s="109"/>
    </row>
    <row r="303" spans="1:10" x14ac:dyDescent="0.25">
      <c r="A303"/>
      <c r="B303"/>
      <c r="C303" s="109"/>
      <c r="D303" s="109"/>
      <c r="E303" s="109"/>
      <c r="H303" s="109"/>
      <c r="I303" s="109"/>
      <c r="J303" s="109"/>
    </row>
    <row r="304" spans="1:10" x14ac:dyDescent="0.25">
      <c r="A304"/>
      <c r="B304"/>
      <c r="C304" s="109"/>
      <c r="D304" s="109"/>
      <c r="E304" s="109"/>
      <c r="H304" s="109"/>
      <c r="I304" s="109"/>
      <c r="J304" s="109"/>
    </row>
    <row r="305" spans="1:10" x14ac:dyDescent="0.25">
      <c r="A305"/>
      <c r="B305"/>
      <c r="C305" s="109"/>
      <c r="D305" s="109"/>
      <c r="E305" s="109"/>
      <c r="H305" s="109"/>
      <c r="I305" s="109"/>
      <c r="J305" s="109"/>
    </row>
    <row r="306" spans="1:10" x14ac:dyDescent="0.25">
      <c r="A306"/>
      <c r="B306"/>
      <c r="C306" s="109"/>
      <c r="D306" s="109"/>
      <c r="E306" s="109"/>
      <c r="H306" s="109"/>
      <c r="I306" s="109"/>
      <c r="J306" s="109"/>
    </row>
    <row r="307" spans="1:10" x14ac:dyDescent="0.25">
      <c r="A307"/>
      <c r="B307"/>
      <c r="C307" s="109"/>
      <c r="D307" s="109"/>
      <c r="E307" s="109"/>
      <c r="H307" s="109"/>
      <c r="I307" s="109"/>
      <c r="J307" s="109"/>
    </row>
    <row r="308" spans="1:10" x14ac:dyDescent="0.25">
      <c r="A308"/>
      <c r="B308"/>
      <c r="C308" s="109"/>
      <c r="D308" s="109"/>
      <c r="E308" s="109"/>
      <c r="H308" s="109"/>
      <c r="I308" s="109"/>
      <c r="J308" s="109"/>
    </row>
    <row r="309" spans="1:10" x14ac:dyDescent="0.25">
      <c r="A309"/>
      <c r="B309"/>
      <c r="C309" s="109"/>
      <c r="D309" s="109"/>
      <c r="E309" s="109"/>
      <c r="H309" s="109"/>
      <c r="I309" s="109"/>
      <c r="J309" s="109"/>
    </row>
    <row r="310" spans="1:10" x14ac:dyDescent="0.25">
      <c r="A310"/>
      <c r="B310"/>
      <c r="C310" s="109"/>
      <c r="D310" s="109"/>
      <c r="E310" s="109"/>
      <c r="H310" s="109"/>
      <c r="I310" s="109"/>
      <c r="J310" s="109"/>
    </row>
    <row r="311" spans="1:10" x14ac:dyDescent="0.25">
      <c r="A311"/>
      <c r="B311"/>
      <c r="C311" s="109"/>
      <c r="D311" s="109"/>
      <c r="E311" s="109"/>
      <c r="H311" s="109"/>
      <c r="I311" s="109"/>
      <c r="J311" s="109"/>
    </row>
    <row r="312" spans="1:10" x14ac:dyDescent="0.25">
      <c r="A312"/>
      <c r="B312"/>
      <c r="C312" s="109"/>
      <c r="D312" s="109"/>
      <c r="E312" s="109"/>
      <c r="H312" s="109"/>
      <c r="I312" s="109"/>
      <c r="J312" s="109"/>
    </row>
  </sheetData>
  <mergeCells count="14">
    <mergeCell ref="A1:J1"/>
    <mergeCell ref="A2:J2"/>
    <mergeCell ref="A4:B4"/>
    <mergeCell ref="D4:E4"/>
    <mergeCell ref="G4:H4"/>
    <mergeCell ref="I4:J4"/>
    <mergeCell ref="A19:G19"/>
    <mergeCell ref="A26:J27"/>
    <mergeCell ref="A5:B5"/>
    <mergeCell ref="D5:E5"/>
    <mergeCell ref="G5:H5"/>
    <mergeCell ref="I5:J5"/>
    <mergeCell ref="A7:J8"/>
    <mergeCell ref="A10:G10"/>
  </mergeCells>
  <conditionalFormatting sqref="A147:E178">
    <cfRule type="expression" dxfId="46" priority="6">
      <formula>$A147="Vendor"</formula>
    </cfRule>
    <cfRule type="expression" dxfId="45" priority="7">
      <formula>$A147="Upcoming consumption vendors"</formula>
    </cfRule>
  </conditionalFormatting>
  <conditionalFormatting sqref="A180:E197">
    <cfRule type="expression" dxfId="44" priority="12">
      <formula>$A180="Upcoming new spend vendors"</formula>
    </cfRule>
  </conditionalFormatting>
  <conditionalFormatting sqref="A180:E312">
    <cfRule type="expression" dxfId="43" priority="11">
      <formula>$A180="Vendor"</formula>
    </cfRule>
  </conditionalFormatting>
  <conditionalFormatting sqref="A198:E312">
    <cfRule type="expression" dxfId="42" priority="17">
      <formula>$A198="Upcoming Microsoft vendors"</formula>
    </cfRule>
  </conditionalFormatting>
  <conditionalFormatting sqref="A31:F145">
    <cfRule type="expression" dxfId="41" priority="1">
      <formula>$A31="Vendor"</formula>
    </cfRule>
    <cfRule type="expression" dxfId="40" priority="2">
      <formula>$A31="Upcoming licensing vendors"</formula>
    </cfRule>
  </conditionalFormatting>
  <conditionalFormatting sqref="E147:E178 E198:E312">
    <cfRule type="cellIs" dxfId="39" priority="10" operator="lessThan">
      <formula>0</formula>
    </cfRule>
  </conditionalFormatting>
  <conditionalFormatting sqref="E180:E197">
    <cfRule type="cellIs" dxfId="38" priority="15" operator="lessThan">
      <formula>0</formula>
    </cfRule>
  </conditionalFormatting>
  <conditionalFormatting sqref="F31:F145">
    <cfRule type="cellIs" dxfId="37" priority="3" operator="lessThan">
      <formula>0</formula>
    </cfRule>
  </conditionalFormatting>
  <conditionalFormatting sqref="G31:J145">
    <cfRule type="expression" dxfId="36" priority="4">
      <formula>OR($G31="Committed summary",$G31="Licensing summary")</formula>
    </cfRule>
    <cfRule type="expression" dxfId="35" priority="5">
      <formula>OR(IFERROR(ISNUMBER(SEARCH("committed items",$G31)),FALSE),IFERROR(ISNUMBER(SEARCH("uncommitted items",$G31)),FALSE))</formula>
    </cfRule>
  </conditionalFormatting>
  <conditionalFormatting sqref="G147:J178 G180:J312">
    <cfRule type="expression" dxfId="34" priority="8">
      <formula>OR($G147="Committed summary",$G147="Upcoming summary")</formula>
    </cfRule>
    <cfRule type="expression" dxfId="33" priority="9">
      <formula>OR(IFERROR(ISNUMBER(SEARCH("committed items",$G147)),FALSE),IFERROR(ISNUMBER(SEARCH("uncommitted items",$G147)),FALSE))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32E0-435D-4860-A8FA-65F7B1C997B0}">
  <sheetPr>
    <tabColor theme="3" tint="0.499984740745262"/>
  </sheetPr>
  <dimension ref="A1:M312"/>
  <sheetViews>
    <sheetView tabSelected="1" workbookViewId="0">
      <selection activeCell="A7" sqref="A7:J8"/>
    </sheetView>
    <sheetView workbookViewId="1"/>
  </sheetViews>
  <sheetFormatPr defaultRowHeight="15" x14ac:dyDescent="0.25"/>
  <cols>
    <col min="1" max="1" width="26.7109375" style="11" customWidth="1"/>
    <col min="2" max="2" width="34.28515625" style="11" customWidth="1"/>
    <col min="3" max="5" width="15.28515625" customWidth="1"/>
    <col min="6" max="6" width="16.140625" customWidth="1"/>
    <col min="7" max="7" width="21" customWidth="1"/>
    <col min="8" max="8" width="13.85546875" style="3" bestFit="1" customWidth="1"/>
    <col min="9" max="9" width="46.140625" style="3" customWidth="1"/>
    <col min="10" max="10" width="13.28515625" style="3" customWidth="1"/>
    <col min="11" max="11" width="14.28515625" bestFit="1" customWidth="1"/>
    <col min="12" max="12" width="20.7109375" style="3" bestFit="1" customWidth="1"/>
    <col min="13" max="13" width="20.7109375" style="3" customWidth="1"/>
    <col min="14" max="14" width="21.140625" customWidth="1"/>
    <col min="15" max="15" width="22.5703125" bestFit="1" customWidth="1"/>
    <col min="16" max="18" width="21.5703125" customWidth="1"/>
    <col min="19" max="19" width="19.42578125" bestFit="1" customWidth="1"/>
    <col min="20" max="20" width="17.5703125" bestFit="1" customWidth="1"/>
  </cols>
  <sheetData>
    <row r="1" spans="1:13" ht="32.1" customHeight="1" x14ac:dyDescent="0.25">
      <c r="A1" s="141" t="s">
        <v>564</v>
      </c>
      <c r="B1" s="141"/>
      <c r="C1" s="141"/>
      <c r="D1" s="141"/>
      <c r="E1" s="141"/>
      <c r="F1" s="141"/>
      <c r="G1" s="141"/>
      <c r="H1" s="141"/>
      <c r="I1" s="141"/>
      <c r="J1" s="141"/>
      <c r="L1"/>
      <c r="M1"/>
    </row>
    <row r="2" spans="1:13" ht="20.100000000000001" customHeight="1" x14ac:dyDescent="0.25">
      <c r="A2" s="142" t="s">
        <v>565</v>
      </c>
      <c r="B2" s="142"/>
      <c r="C2" s="142"/>
      <c r="D2" s="142"/>
      <c r="E2" s="142"/>
      <c r="F2" s="142"/>
      <c r="G2" s="142"/>
      <c r="H2" s="142"/>
      <c r="I2" s="142"/>
      <c r="J2" s="142"/>
      <c r="L2"/>
      <c r="M2"/>
    </row>
    <row r="3" spans="1:13" ht="8.1" customHeight="1" x14ac:dyDescent="0.25">
      <c r="A3"/>
      <c r="B3"/>
      <c r="H3"/>
      <c r="I3"/>
      <c r="J3"/>
      <c r="L3"/>
      <c r="M3"/>
    </row>
    <row r="4" spans="1:13" x14ac:dyDescent="0.25">
      <c r="A4" s="143" t="s">
        <v>574</v>
      </c>
      <c r="B4" s="143"/>
      <c r="C4" s="7"/>
      <c r="D4" s="143" t="s">
        <v>575</v>
      </c>
      <c r="E4" s="143"/>
      <c r="F4" s="7"/>
      <c r="G4" s="143" t="s">
        <v>576</v>
      </c>
      <c r="H4" s="143"/>
      <c r="I4" s="143" t="s">
        <v>577</v>
      </c>
      <c r="J4" s="143"/>
      <c r="L4"/>
      <c r="M4"/>
    </row>
    <row r="5" spans="1:13" ht="48" customHeight="1" x14ac:dyDescent="0.25">
      <c r="A5" s="139">
        <v>23692506.45761466</v>
      </c>
      <c r="B5" s="139"/>
      <c r="C5" s="117"/>
      <c r="D5" s="139">
        <v>22962976.049178086</v>
      </c>
      <c r="E5" s="139"/>
      <c r="F5" s="117"/>
      <c r="G5" s="139">
        <v>728974.62761466089</v>
      </c>
      <c r="H5" s="139"/>
      <c r="I5" s="139">
        <v>320983.41441914049</v>
      </c>
      <c r="J5" s="139"/>
      <c r="L5"/>
      <c r="M5"/>
    </row>
    <row r="6" spans="1:13" ht="8.1" customHeight="1" x14ac:dyDescent="0.25">
      <c r="A6"/>
      <c r="B6"/>
      <c r="H6"/>
      <c r="I6"/>
      <c r="J6"/>
      <c r="L6"/>
      <c r="M6"/>
    </row>
    <row r="7" spans="1:13" x14ac:dyDescent="0.25">
      <c r="A7" s="140" t="s">
        <v>902</v>
      </c>
      <c r="B7" s="140"/>
      <c r="C7" s="140"/>
      <c r="D7" s="140"/>
      <c r="E7" s="140"/>
      <c r="F7" s="140"/>
      <c r="G7" s="140"/>
      <c r="H7" s="140"/>
      <c r="I7" s="140"/>
      <c r="J7" s="140"/>
      <c r="L7"/>
      <c r="M7"/>
    </row>
    <row r="8" spans="1:13" x14ac:dyDescent="0.25">
      <c r="A8" s="140"/>
      <c r="B8" s="140"/>
      <c r="C8" s="140"/>
      <c r="D8" s="140"/>
      <c r="E8" s="140"/>
      <c r="F8" s="140"/>
      <c r="G8" s="140"/>
      <c r="H8" s="140"/>
      <c r="I8" s="140"/>
      <c r="J8" s="140"/>
      <c r="L8"/>
      <c r="M8"/>
    </row>
    <row r="9" spans="1:13" ht="15" customHeight="1" x14ac:dyDescent="0.25">
      <c r="A9"/>
      <c r="B9"/>
      <c r="H9"/>
      <c r="I9"/>
      <c r="J9"/>
      <c r="L9"/>
      <c r="M9"/>
    </row>
    <row r="10" spans="1:13" ht="15.75" x14ac:dyDescent="0.25">
      <c r="A10" s="137" t="s">
        <v>578</v>
      </c>
      <c r="B10" s="137"/>
      <c r="C10" s="137"/>
      <c r="D10" s="137"/>
      <c r="E10" s="137"/>
      <c r="F10" s="137"/>
      <c r="G10" s="137"/>
      <c r="H10"/>
      <c r="I10"/>
      <c r="J10"/>
      <c r="L10"/>
      <c r="M10"/>
    </row>
    <row r="11" spans="1:13" x14ac:dyDescent="0.25">
      <c r="A11" s="125" t="s">
        <v>566</v>
      </c>
      <c r="B11" s="125" t="s">
        <v>567</v>
      </c>
      <c r="C11" s="125" t="s">
        <v>568</v>
      </c>
      <c r="D11" s="125" t="s">
        <v>569</v>
      </c>
      <c r="E11" s="125" t="s">
        <v>570</v>
      </c>
      <c r="F11" s="125" t="s">
        <v>571</v>
      </c>
      <c r="G11" s="125" t="s">
        <v>13</v>
      </c>
      <c r="H11"/>
      <c r="I11"/>
      <c r="J11"/>
      <c r="L11"/>
      <c r="M11"/>
    </row>
    <row r="12" spans="1:13" x14ac:dyDescent="0.25">
      <c r="A12" s="126" t="s">
        <v>553</v>
      </c>
      <c r="B12" s="130">
        <v>844008.17277530488</v>
      </c>
      <c r="C12" s="130">
        <v>3477136.3066633623</v>
      </c>
      <c r="D12" s="130">
        <v>1175842.5</v>
      </c>
      <c r="E12" s="130">
        <v>1272025.9100000001</v>
      </c>
      <c r="F12" s="130">
        <v>16923493.56817599</v>
      </c>
      <c r="G12" s="130">
        <v>23692506.45761466</v>
      </c>
      <c r="H12"/>
      <c r="I12"/>
      <c r="J12"/>
      <c r="L12"/>
      <c r="M12"/>
    </row>
    <row r="13" spans="1:13" x14ac:dyDescent="0.25">
      <c r="A13" s="126" t="s">
        <v>579</v>
      </c>
      <c r="B13" s="130">
        <v>588167.13000000012</v>
      </c>
      <c r="C13" s="130">
        <v>3379516.6699999995</v>
      </c>
      <c r="D13" s="130">
        <v>1172578.3591780823</v>
      </c>
      <c r="E13" s="130">
        <v>1264749.7300000002</v>
      </c>
      <c r="F13" s="130">
        <v>16557964.16</v>
      </c>
      <c r="G13" s="130">
        <v>22962976.049178086</v>
      </c>
      <c r="H13"/>
      <c r="I13"/>
      <c r="J13"/>
      <c r="L13"/>
      <c r="M13"/>
    </row>
    <row r="14" spans="1:13" x14ac:dyDescent="0.25">
      <c r="A14" s="124" t="s">
        <v>580</v>
      </c>
      <c r="B14" s="122">
        <v>255841.04277530493</v>
      </c>
      <c r="C14" s="122">
        <v>97619.636663362631</v>
      </c>
      <c r="D14" s="122">
        <v>2708.36</v>
      </c>
      <c r="E14" s="122">
        <v>7276.18</v>
      </c>
      <c r="F14" s="122">
        <v>365529.40817599325</v>
      </c>
      <c r="G14" s="122">
        <v>728974.62761466089</v>
      </c>
      <c r="H14"/>
      <c r="I14"/>
      <c r="J14"/>
      <c r="L14"/>
      <c r="M14"/>
    </row>
    <row r="15" spans="1:13" x14ac:dyDescent="0.25">
      <c r="A15" s="127" t="s">
        <v>581</v>
      </c>
      <c r="B15" s="119">
        <v>27820.322775304932</v>
      </c>
      <c r="C15" s="119">
        <v>22095.129999999997</v>
      </c>
      <c r="D15" s="119">
        <v>0</v>
      </c>
      <c r="E15" s="119">
        <v>0</v>
      </c>
      <c r="F15" s="119">
        <v>271067.96164383559</v>
      </c>
      <c r="G15" s="119">
        <v>320983.41441914049</v>
      </c>
      <c r="H15"/>
      <c r="I15"/>
      <c r="J15"/>
      <c r="L15"/>
      <c r="M15"/>
    </row>
    <row r="16" spans="1:13" x14ac:dyDescent="0.25">
      <c r="A16" s="128" t="s">
        <v>582</v>
      </c>
      <c r="B16" s="120">
        <v>230609.96</v>
      </c>
      <c r="C16" s="120">
        <v>111226.90666336264</v>
      </c>
      <c r="D16" s="120">
        <v>3088.36</v>
      </c>
      <c r="E16" s="120">
        <v>48881.520000000004</v>
      </c>
      <c r="F16" s="120">
        <v>294461.45318421233</v>
      </c>
      <c r="G16" s="120">
        <v>688268.19984757493</v>
      </c>
      <c r="H16"/>
      <c r="I16"/>
      <c r="J16"/>
      <c r="L16"/>
      <c r="M16"/>
    </row>
    <row r="17" spans="1:13" ht="30" x14ac:dyDescent="0.25">
      <c r="A17" s="129" t="s">
        <v>573</v>
      </c>
      <c r="B17" s="131">
        <v>2589.2400000000052</v>
      </c>
      <c r="C17" s="131">
        <v>35702.400000000001</v>
      </c>
      <c r="D17" s="131">
        <v>380</v>
      </c>
      <c r="E17" s="131">
        <v>41605.339999999997</v>
      </c>
      <c r="F17" s="131">
        <v>200000.00665205478</v>
      </c>
      <c r="G17" s="131">
        <v>280276.98665205482</v>
      </c>
      <c r="H17"/>
      <c r="I17"/>
      <c r="J17"/>
      <c r="L17"/>
      <c r="M17"/>
    </row>
    <row r="18" spans="1:13" x14ac:dyDescent="0.25">
      <c r="A18"/>
      <c r="B18"/>
      <c r="H18"/>
      <c r="I18"/>
      <c r="J18"/>
      <c r="L18"/>
      <c r="M18"/>
    </row>
    <row r="19" spans="1:13" ht="15.75" x14ac:dyDescent="0.25">
      <c r="A19" s="137" t="s">
        <v>583</v>
      </c>
      <c r="B19" s="137"/>
      <c r="C19" s="137"/>
      <c r="D19" s="137"/>
      <c r="E19" s="137"/>
      <c r="F19" s="137"/>
      <c r="G19" s="137"/>
      <c r="H19"/>
      <c r="I19"/>
      <c r="J19"/>
      <c r="L19"/>
      <c r="M19"/>
    </row>
    <row r="20" spans="1:13" ht="45" x14ac:dyDescent="0.25">
      <c r="A20" s="132" t="s">
        <v>8</v>
      </c>
      <c r="B20" s="132" t="s">
        <v>553</v>
      </c>
      <c r="C20" s="132" t="s">
        <v>579</v>
      </c>
      <c r="D20" s="132" t="s">
        <v>580</v>
      </c>
      <c r="E20" s="132" t="s">
        <v>581</v>
      </c>
      <c r="F20" s="132" t="s">
        <v>582</v>
      </c>
      <c r="G20" s="132" t="s">
        <v>573</v>
      </c>
      <c r="H20"/>
      <c r="I20"/>
      <c r="J20"/>
      <c r="L20"/>
      <c r="M20"/>
    </row>
    <row r="21" spans="1:13" x14ac:dyDescent="0.25">
      <c r="A21" s="133" t="s">
        <v>555</v>
      </c>
      <c r="B21" s="130">
        <v>15574044.945025282</v>
      </c>
      <c r="C21" s="130">
        <v>14844914.539178083</v>
      </c>
      <c r="D21" s="130">
        <v>728574.62502528576</v>
      </c>
      <c r="E21" s="119">
        <v>320983.41441914049</v>
      </c>
      <c r="F21" s="120">
        <v>687868.1972581998</v>
      </c>
      <c r="G21" s="121">
        <v>280276.98665205482</v>
      </c>
      <c r="H21"/>
      <c r="I21" t="s">
        <v>584</v>
      </c>
      <c r="J21"/>
      <c r="L21"/>
      <c r="M21"/>
    </row>
    <row r="22" spans="1:13" x14ac:dyDescent="0.25">
      <c r="A22" s="133" t="s">
        <v>0</v>
      </c>
      <c r="B22" s="130">
        <v>7659712.8425893756</v>
      </c>
      <c r="C22" s="130">
        <v>7659312.8399999999</v>
      </c>
      <c r="D22" s="130">
        <v>400.00258937513718</v>
      </c>
      <c r="E22" s="119">
        <v>0</v>
      </c>
      <c r="F22" s="120">
        <v>400.00258937513718</v>
      </c>
      <c r="G22" s="121">
        <v>0</v>
      </c>
      <c r="H22"/>
      <c r="I22" t="s">
        <v>585</v>
      </c>
      <c r="J22"/>
      <c r="L22"/>
      <c r="M22"/>
    </row>
    <row r="23" spans="1:13" x14ac:dyDescent="0.25">
      <c r="A23" s="133" t="s">
        <v>29</v>
      </c>
      <c r="B23" s="130">
        <v>458748.67000000004</v>
      </c>
      <c r="C23" s="130">
        <v>458748.67000000004</v>
      </c>
      <c r="D23" s="130">
        <v>0</v>
      </c>
      <c r="E23" s="119">
        <v>0</v>
      </c>
      <c r="F23" s="120">
        <v>0</v>
      </c>
      <c r="G23" s="121">
        <v>0</v>
      </c>
      <c r="H23"/>
      <c r="I23" t="s">
        <v>586</v>
      </c>
      <c r="J23"/>
      <c r="L23"/>
      <c r="M23"/>
    </row>
    <row r="24" spans="1:13" x14ac:dyDescent="0.25">
      <c r="A24" s="118" t="s">
        <v>572</v>
      </c>
      <c r="B24" s="123">
        <v>23692506.45761466</v>
      </c>
      <c r="C24" s="123">
        <v>22962976.049178086</v>
      </c>
      <c r="D24" s="123">
        <v>728974.62761466089</v>
      </c>
      <c r="E24" s="123">
        <v>320983.41441914049</v>
      </c>
      <c r="F24" s="123">
        <v>688268.19984757493</v>
      </c>
      <c r="G24" s="123">
        <v>280276.98665205482</v>
      </c>
      <c r="H24"/>
      <c r="I24"/>
      <c r="J24"/>
      <c r="L24"/>
      <c r="M24"/>
    </row>
    <row r="25" spans="1:13" x14ac:dyDescent="0.25">
      <c r="A25"/>
      <c r="B25"/>
      <c r="H25"/>
      <c r="I25"/>
      <c r="J25"/>
      <c r="L25"/>
      <c r="M25"/>
    </row>
    <row r="26" spans="1:13" x14ac:dyDescent="0.25">
      <c r="A26" s="138" t="s">
        <v>838</v>
      </c>
      <c r="B26" s="138"/>
      <c r="C26" s="138"/>
      <c r="D26" s="138"/>
      <c r="E26" s="138"/>
      <c r="F26" s="138"/>
      <c r="G26" s="138"/>
      <c r="H26" s="138"/>
      <c r="I26" s="138"/>
      <c r="J26" s="138"/>
      <c r="L26"/>
      <c r="M26"/>
    </row>
    <row r="27" spans="1:13" x14ac:dyDescent="0.25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L27"/>
      <c r="M27"/>
    </row>
    <row r="30" spans="1:13" ht="26.1" customHeight="1" x14ac:dyDescent="0.3">
      <c r="A30" s="110" t="s">
        <v>561</v>
      </c>
      <c r="B30" s="110"/>
      <c r="C30" s="108"/>
      <c r="D30" s="108"/>
      <c r="E30" s="108"/>
      <c r="F30" s="108"/>
      <c r="G30" s="108"/>
      <c r="H30" s="108"/>
      <c r="I30" s="108"/>
    </row>
    <row r="31" spans="1:13" x14ac:dyDescent="0.25">
      <c r="A31" s="11" t="s">
        <v>7</v>
      </c>
      <c r="B31" s="113" t="s">
        <v>75</v>
      </c>
      <c r="C31" s="109" t="s">
        <v>553</v>
      </c>
      <c r="D31" s="109" t="s">
        <v>554</v>
      </c>
      <c r="E31" s="109" t="s">
        <v>558</v>
      </c>
      <c r="F31" s="109" t="s">
        <v>839</v>
      </c>
      <c r="G31" t="s">
        <v>840</v>
      </c>
      <c r="H31" s="109" t="s">
        <v>553</v>
      </c>
      <c r="I31" s="109" t="s">
        <v>554</v>
      </c>
      <c r="J31" s="115" t="s">
        <v>558</v>
      </c>
    </row>
    <row r="32" spans="1:13" x14ac:dyDescent="0.25">
      <c r="A32" s="11" t="s">
        <v>587</v>
      </c>
      <c r="B32" s="113" t="s">
        <v>694</v>
      </c>
      <c r="C32" s="109">
        <v>31644</v>
      </c>
      <c r="D32" s="109">
        <v>0</v>
      </c>
      <c r="E32" s="109">
        <v>31644</v>
      </c>
      <c r="F32" s="109" t="s">
        <v>839</v>
      </c>
      <c r="G32" t="s">
        <v>903</v>
      </c>
      <c r="H32" s="109">
        <v>342506.41441914049</v>
      </c>
      <c r="I32" s="109">
        <v>21523</v>
      </c>
      <c r="J32" s="115">
        <v>320983.41441914049</v>
      </c>
    </row>
    <row r="33" spans="1:10" x14ac:dyDescent="0.25">
      <c r="A33" s="11" t="s">
        <v>588</v>
      </c>
      <c r="B33" s="113" t="s">
        <v>695</v>
      </c>
      <c r="C33" s="109">
        <v>33330.361643835618</v>
      </c>
      <c r="D33" s="109">
        <v>0</v>
      </c>
      <c r="E33" s="109">
        <v>33330.361643835618</v>
      </c>
      <c r="F33" s="109" t="s">
        <v>839</v>
      </c>
      <c r="G33" t="s">
        <v>839</v>
      </c>
      <c r="H33" s="109" t="s">
        <v>839</v>
      </c>
      <c r="I33" s="109" t="s">
        <v>839</v>
      </c>
      <c r="J33" s="115" t="s">
        <v>839</v>
      </c>
    </row>
    <row r="34" spans="1:10" x14ac:dyDescent="0.25">
      <c r="A34" s="11" t="s">
        <v>589</v>
      </c>
      <c r="B34" s="113" t="s">
        <v>696</v>
      </c>
      <c r="C34" s="109">
        <v>13440</v>
      </c>
      <c r="D34" s="109">
        <v>0</v>
      </c>
      <c r="E34" s="109">
        <v>13440</v>
      </c>
      <c r="F34" s="109" t="s">
        <v>839</v>
      </c>
      <c r="G34" t="s">
        <v>839</v>
      </c>
      <c r="H34" s="109" t="s">
        <v>839</v>
      </c>
      <c r="I34" s="109" t="s">
        <v>839</v>
      </c>
      <c r="J34" s="115" t="s">
        <v>839</v>
      </c>
    </row>
    <row r="35" spans="1:10" x14ac:dyDescent="0.25">
      <c r="A35" s="11" t="s">
        <v>590</v>
      </c>
      <c r="B35" s="113" t="s">
        <v>697</v>
      </c>
      <c r="C35" s="109">
        <v>588</v>
      </c>
      <c r="D35" s="109">
        <v>0</v>
      </c>
      <c r="E35" s="109">
        <v>588</v>
      </c>
      <c r="F35" s="109" t="s">
        <v>839</v>
      </c>
      <c r="G35" t="s">
        <v>839</v>
      </c>
      <c r="H35" s="109" t="s">
        <v>839</v>
      </c>
      <c r="I35" s="109" t="s">
        <v>839</v>
      </c>
      <c r="J35" s="115" t="s">
        <v>839</v>
      </c>
    </row>
    <row r="36" spans="1:10" x14ac:dyDescent="0.25">
      <c r="A36" s="11" t="s">
        <v>592</v>
      </c>
      <c r="B36" s="113" t="s">
        <v>699</v>
      </c>
      <c r="C36" s="109">
        <v>187065.59999999998</v>
      </c>
      <c r="D36" s="109">
        <v>0</v>
      </c>
      <c r="E36" s="109">
        <v>187065.59999999998</v>
      </c>
      <c r="F36" s="109" t="s">
        <v>839</v>
      </c>
      <c r="G36" t="s">
        <v>839</v>
      </c>
      <c r="H36" s="109" t="s">
        <v>839</v>
      </c>
      <c r="I36" s="109" t="s">
        <v>839</v>
      </c>
      <c r="J36" s="115" t="s">
        <v>839</v>
      </c>
    </row>
    <row r="37" spans="1:10" x14ac:dyDescent="0.25">
      <c r="A37" s="11" t="s">
        <v>593</v>
      </c>
      <c r="B37" s="113" t="s">
        <v>700</v>
      </c>
      <c r="C37" s="109">
        <v>5000</v>
      </c>
      <c r="D37" s="109">
        <v>0</v>
      </c>
      <c r="E37" s="109">
        <v>5000</v>
      </c>
      <c r="F37" s="109" t="s">
        <v>839</v>
      </c>
      <c r="G37" t="s">
        <v>839</v>
      </c>
      <c r="H37" s="109" t="s">
        <v>839</v>
      </c>
      <c r="I37" s="109" t="s">
        <v>839</v>
      </c>
      <c r="J37" s="115" t="s">
        <v>839</v>
      </c>
    </row>
    <row r="38" spans="1:10" x14ac:dyDescent="0.25">
      <c r="A38" s="11" t="s">
        <v>594</v>
      </c>
      <c r="B38" s="113" t="s">
        <v>701</v>
      </c>
      <c r="C38" s="109">
        <v>2.8456501407393504</v>
      </c>
      <c r="D38" s="109">
        <v>0</v>
      </c>
      <c r="E38" s="109">
        <v>2.8456501407393504</v>
      </c>
      <c r="F38" s="109" t="s">
        <v>839</v>
      </c>
      <c r="G38" t="s">
        <v>839</v>
      </c>
      <c r="H38" s="109" t="s">
        <v>839</v>
      </c>
      <c r="I38" s="109" t="s">
        <v>839</v>
      </c>
      <c r="J38" s="115" t="s">
        <v>839</v>
      </c>
    </row>
    <row r="39" spans="1:10" x14ac:dyDescent="0.25">
      <c r="A39" s="11" t="s">
        <v>595</v>
      </c>
      <c r="B39" s="113" t="s">
        <v>702</v>
      </c>
      <c r="C39" s="109">
        <v>44383.56</v>
      </c>
      <c r="D39" s="109">
        <v>21315</v>
      </c>
      <c r="E39" s="109">
        <v>23068.559999999998</v>
      </c>
      <c r="F39" s="109" t="s">
        <v>839</v>
      </c>
      <c r="G39" t="s">
        <v>839</v>
      </c>
      <c r="H39" s="109" t="s">
        <v>839</v>
      </c>
      <c r="I39" s="109" t="s">
        <v>839</v>
      </c>
      <c r="J39" s="115" t="s">
        <v>839</v>
      </c>
    </row>
    <row r="40" spans="1:10" x14ac:dyDescent="0.25">
      <c r="A40" s="11" t="s">
        <v>596</v>
      </c>
      <c r="B40" s="113" t="s">
        <v>703</v>
      </c>
      <c r="C40" s="109">
        <v>4748.9171251641956</v>
      </c>
      <c r="D40" s="109">
        <v>0</v>
      </c>
      <c r="E40" s="109">
        <v>4748.9171251641956</v>
      </c>
      <c r="F40" s="109" t="s">
        <v>839</v>
      </c>
      <c r="G40" t="s">
        <v>839</v>
      </c>
      <c r="H40" s="109" t="s">
        <v>839</v>
      </c>
      <c r="I40" s="109" t="s">
        <v>839</v>
      </c>
      <c r="J40" s="115" t="s">
        <v>839</v>
      </c>
    </row>
    <row r="41" spans="1:10" x14ac:dyDescent="0.25">
      <c r="A41" s="11" t="s">
        <v>613</v>
      </c>
      <c r="B41" s="113" t="s">
        <v>731</v>
      </c>
      <c r="C41" s="109">
        <v>300.42</v>
      </c>
      <c r="D41" s="109">
        <v>208</v>
      </c>
      <c r="E41" s="109">
        <v>92.420000000000016</v>
      </c>
      <c r="F41" s="109" t="s">
        <v>839</v>
      </c>
      <c r="G41" t="s">
        <v>839</v>
      </c>
      <c r="H41" s="109" t="s">
        <v>839</v>
      </c>
      <c r="I41" s="109" t="s">
        <v>839</v>
      </c>
      <c r="J41" s="115" t="s">
        <v>839</v>
      </c>
    </row>
    <row r="42" spans="1:10" x14ac:dyDescent="0.25">
      <c r="A42" s="11" t="s">
        <v>622</v>
      </c>
      <c r="B42" s="113" t="s">
        <v>732</v>
      </c>
      <c r="C42" s="109">
        <v>12400.71</v>
      </c>
      <c r="D42" s="109">
        <v>0</v>
      </c>
      <c r="E42" s="109">
        <v>12400.71</v>
      </c>
      <c r="F42" s="109" t="s">
        <v>839</v>
      </c>
      <c r="G42" t="s">
        <v>839</v>
      </c>
      <c r="H42" s="109" t="s">
        <v>839</v>
      </c>
      <c r="I42" s="109" t="s">
        <v>839</v>
      </c>
      <c r="J42" s="115" t="s">
        <v>839</v>
      </c>
    </row>
    <row r="43" spans="1:10" x14ac:dyDescent="0.25">
      <c r="A43" s="11" t="s">
        <v>618</v>
      </c>
      <c r="B43" s="113" t="s">
        <v>735</v>
      </c>
      <c r="C43" s="109">
        <v>9602</v>
      </c>
      <c r="D43" s="109">
        <v>0</v>
      </c>
      <c r="E43" s="109">
        <v>9602</v>
      </c>
      <c r="F43" s="109" t="s">
        <v>839</v>
      </c>
      <c r="G43" t="s">
        <v>839</v>
      </c>
      <c r="H43" s="109" t="s">
        <v>839</v>
      </c>
      <c r="I43" s="109" t="s">
        <v>839</v>
      </c>
      <c r="J43" s="115" t="s">
        <v>839</v>
      </c>
    </row>
    <row r="44" spans="1:10" ht="15" customHeight="1" x14ac:dyDescent="0.25">
      <c r="A44" s="11" t="s">
        <v>839</v>
      </c>
      <c r="B44" s="113" t="s">
        <v>839</v>
      </c>
      <c r="C44" s="109" t="s">
        <v>839</v>
      </c>
      <c r="D44" s="109" t="s">
        <v>839</v>
      </c>
      <c r="E44" s="109" t="s">
        <v>839</v>
      </c>
      <c r="F44" s="109" t="s">
        <v>839</v>
      </c>
      <c r="G44" t="s">
        <v>839</v>
      </c>
      <c r="H44" s="109" t="s">
        <v>839</v>
      </c>
      <c r="I44" s="109" t="s">
        <v>839</v>
      </c>
      <c r="J44" s="115" t="s">
        <v>839</v>
      </c>
    </row>
    <row r="45" spans="1:10" x14ac:dyDescent="0.25">
      <c r="A45" s="111" t="s">
        <v>839</v>
      </c>
      <c r="B45" s="114" t="s">
        <v>839</v>
      </c>
      <c r="C45" s="112" t="s">
        <v>839</v>
      </c>
      <c r="D45" s="112" t="s">
        <v>839</v>
      </c>
      <c r="E45" s="112" t="s">
        <v>839</v>
      </c>
      <c r="F45" s="109" t="s">
        <v>839</v>
      </c>
      <c r="G45" t="s">
        <v>839</v>
      </c>
      <c r="H45" s="109" t="s">
        <v>839</v>
      </c>
      <c r="I45" s="109" t="s">
        <v>839</v>
      </c>
      <c r="J45" s="115" t="s">
        <v>839</v>
      </c>
    </row>
    <row r="46" spans="1:10" x14ac:dyDescent="0.25">
      <c r="A46" s="11" t="s">
        <v>842</v>
      </c>
      <c r="B46" s="113" t="s">
        <v>839</v>
      </c>
      <c r="C46" s="109" t="s">
        <v>839</v>
      </c>
      <c r="D46" s="109" t="s">
        <v>839</v>
      </c>
      <c r="E46" s="109" t="s">
        <v>839</v>
      </c>
      <c r="F46" s="109" t="s">
        <v>839</v>
      </c>
      <c r="G46" t="s">
        <v>839</v>
      </c>
      <c r="H46" s="109" t="s">
        <v>839</v>
      </c>
      <c r="I46" s="109" t="s">
        <v>839</v>
      </c>
      <c r="J46" s="115" t="s">
        <v>839</v>
      </c>
    </row>
    <row r="47" spans="1:10" x14ac:dyDescent="0.25">
      <c r="A47" s="11" t="s">
        <v>7</v>
      </c>
      <c r="B47" s="113" t="s">
        <v>75</v>
      </c>
      <c r="C47" s="109" t="s">
        <v>843</v>
      </c>
      <c r="D47" s="109" t="s">
        <v>553</v>
      </c>
      <c r="E47" s="109" t="s">
        <v>554</v>
      </c>
      <c r="F47" s="109" t="s">
        <v>558</v>
      </c>
      <c r="G47" t="s">
        <v>844</v>
      </c>
      <c r="H47" s="109" t="s">
        <v>553</v>
      </c>
      <c r="I47" s="109" t="s">
        <v>554</v>
      </c>
      <c r="J47" s="115" t="s">
        <v>558</v>
      </c>
    </row>
    <row r="48" spans="1:10" x14ac:dyDescent="0.25">
      <c r="A48" s="11" t="s">
        <v>597</v>
      </c>
      <c r="B48" s="113" t="s">
        <v>704</v>
      </c>
      <c r="C48" s="109" t="s">
        <v>904</v>
      </c>
      <c r="D48" s="109">
        <v>16835.05</v>
      </c>
      <c r="E48" s="109">
        <v>0</v>
      </c>
      <c r="F48" s="109">
        <v>16835.05</v>
      </c>
      <c r="G48" t="s">
        <v>905</v>
      </c>
      <c r="H48" s="109">
        <v>15231538.530606141</v>
      </c>
      <c r="I48" s="109">
        <v>14823391.539178083</v>
      </c>
      <c r="J48" s="115">
        <v>407591.21060614503</v>
      </c>
    </row>
    <row r="49" spans="1:10" x14ac:dyDescent="0.25">
      <c r="A49" s="11" t="s">
        <v>600</v>
      </c>
      <c r="B49" s="113" t="s">
        <v>707</v>
      </c>
      <c r="C49" s="109" t="s">
        <v>904</v>
      </c>
      <c r="D49" s="109">
        <v>18158.900000000001</v>
      </c>
      <c r="E49" s="109">
        <v>13921</v>
      </c>
      <c r="F49" s="109">
        <v>4237.9000000000015</v>
      </c>
      <c r="H49" s="109"/>
      <c r="I49" s="109"/>
      <c r="J49" s="115"/>
    </row>
    <row r="50" spans="1:10" x14ac:dyDescent="0.25">
      <c r="A50" s="11" t="s">
        <v>601</v>
      </c>
      <c r="B50" s="113" t="s">
        <v>708</v>
      </c>
      <c r="C50" s="109" t="s">
        <v>845</v>
      </c>
      <c r="D50" s="109">
        <v>10897.62</v>
      </c>
      <c r="E50" s="109">
        <v>10897.62</v>
      </c>
      <c r="F50" s="109">
        <v>0</v>
      </c>
      <c r="H50" s="109"/>
      <c r="I50" s="109"/>
      <c r="J50" s="115"/>
    </row>
    <row r="51" spans="1:10" x14ac:dyDescent="0.25">
      <c r="A51" s="11" t="s">
        <v>602</v>
      </c>
      <c r="B51" s="113" t="s">
        <v>709</v>
      </c>
      <c r="C51" s="109" t="s">
        <v>906</v>
      </c>
      <c r="D51" s="109">
        <v>354869.79</v>
      </c>
      <c r="E51" s="109">
        <v>166469</v>
      </c>
      <c r="F51" s="109">
        <v>188400.78999999998</v>
      </c>
      <c r="H51" s="109"/>
      <c r="I51" s="109"/>
      <c r="J51" s="115"/>
    </row>
    <row r="52" spans="1:10" x14ac:dyDescent="0.25">
      <c r="A52" s="11" t="s">
        <v>603</v>
      </c>
      <c r="B52" s="113" t="s">
        <v>710</v>
      </c>
      <c r="C52" s="109" t="s">
        <v>907</v>
      </c>
      <c r="D52" s="109">
        <v>145598</v>
      </c>
      <c r="E52" s="109">
        <v>141000</v>
      </c>
      <c r="F52" s="109">
        <v>4598</v>
      </c>
      <c r="H52" s="109"/>
      <c r="I52" s="109"/>
      <c r="J52" s="115"/>
    </row>
    <row r="53" spans="1:10" x14ac:dyDescent="0.25">
      <c r="A53" s="11" t="s">
        <v>606</v>
      </c>
      <c r="B53" s="113" t="s">
        <v>713</v>
      </c>
      <c r="C53" s="109" t="s">
        <v>908</v>
      </c>
      <c r="D53" s="109">
        <v>89342.25</v>
      </c>
      <c r="E53" s="109">
        <v>81676</v>
      </c>
      <c r="F53" s="109">
        <v>7666.25</v>
      </c>
      <c r="H53" s="109"/>
      <c r="I53" s="109"/>
      <c r="J53" s="115"/>
    </row>
    <row r="54" spans="1:10" x14ac:dyDescent="0.25">
      <c r="A54" s="11" t="s">
        <v>607</v>
      </c>
      <c r="B54" s="113" t="s">
        <v>714</v>
      </c>
      <c r="C54" s="109" t="s">
        <v>909</v>
      </c>
      <c r="D54" s="109">
        <v>21602.37</v>
      </c>
      <c r="E54" s="109">
        <v>16705</v>
      </c>
      <c r="F54" s="109">
        <v>4897.369999999999</v>
      </c>
      <c r="H54" s="109"/>
      <c r="I54" s="109"/>
      <c r="J54" s="115"/>
    </row>
    <row r="55" spans="1:10" x14ac:dyDescent="0.25">
      <c r="A55" s="11" t="s">
        <v>611</v>
      </c>
      <c r="B55" s="113" t="s">
        <v>718</v>
      </c>
      <c r="C55" s="109" t="s">
        <v>847</v>
      </c>
      <c r="D55" s="109">
        <v>6959.34</v>
      </c>
      <c r="E55" s="109">
        <v>6959.34</v>
      </c>
      <c r="F55" s="109">
        <v>0</v>
      </c>
      <c r="H55" s="109"/>
      <c r="I55" s="109"/>
      <c r="J55" s="115"/>
    </row>
    <row r="56" spans="1:10" x14ac:dyDescent="0.25">
      <c r="A56" s="11" t="s">
        <v>612</v>
      </c>
      <c r="B56" s="113" t="s">
        <v>719</v>
      </c>
      <c r="C56" s="109" t="s">
        <v>848</v>
      </c>
      <c r="D56" s="109">
        <v>4000</v>
      </c>
      <c r="E56" s="109">
        <v>3928.96</v>
      </c>
      <c r="F56" s="109">
        <v>71.039999999999964</v>
      </c>
      <c r="H56" s="109"/>
      <c r="I56" s="109"/>
      <c r="J56" s="115"/>
    </row>
    <row r="57" spans="1:10" x14ac:dyDescent="0.25">
      <c r="A57" s="11" t="s">
        <v>613</v>
      </c>
      <c r="B57" s="113" t="s">
        <v>720</v>
      </c>
      <c r="C57" s="109" t="s">
        <v>849</v>
      </c>
      <c r="D57" s="109">
        <v>3496.56</v>
      </c>
      <c r="E57" s="109">
        <v>0</v>
      </c>
      <c r="F57" s="109">
        <v>3496.56</v>
      </c>
      <c r="H57" s="109"/>
      <c r="I57" s="109"/>
      <c r="J57" s="115"/>
    </row>
    <row r="58" spans="1:10" x14ac:dyDescent="0.25">
      <c r="A58" s="11" t="s">
        <v>613</v>
      </c>
      <c r="B58" s="113" t="s">
        <v>721</v>
      </c>
      <c r="C58" s="109" t="s">
        <v>849</v>
      </c>
      <c r="D58" s="109">
        <v>16764.09</v>
      </c>
      <c r="E58" s="109">
        <v>16764.09</v>
      </c>
      <c r="F58" s="109">
        <v>0</v>
      </c>
      <c r="H58" s="109"/>
      <c r="I58" s="109"/>
      <c r="J58" s="115"/>
    </row>
    <row r="59" spans="1:10" x14ac:dyDescent="0.25">
      <c r="A59" s="11" t="s">
        <v>613</v>
      </c>
      <c r="B59" s="113" t="s">
        <v>723</v>
      </c>
      <c r="C59" s="109" t="s">
        <v>849</v>
      </c>
      <c r="D59" s="109">
        <v>20822.12</v>
      </c>
      <c r="E59" s="109">
        <v>20822.12</v>
      </c>
      <c r="F59" s="109">
        <v>0</v>
      </c>
      <c r="H59" s="109"/>
      <c r="I59" s="109"/>
      <c r="J59" s="115"/>
    </row>
    <row r="60" spans="1:10" x14ac:dyDescent="0.25">
      <c r="A60" s="11" t="s">
        <v>615</v>
      </c>
      <c r="B60" s="113" t="s">
        <v>724</v>
      </c>
      <c r="C60" s="109" t="s">
        <v>850</v>
      </c>
      <c r="D60" s="109">
        <v>2116</v>
      </c>
      <c r="E60" s="109">
        <v>1709</v>
      </c>
      <c r="F60" s="109">
        <v>407</v>
      </c>
      <c r="H60" s="109"/>
      <c r="I60" s="109"/>
      <c r="J60" s="115"/>
    </row>
    <row r="61" spans="1:10" x14ac:dyDescent="0.25">
      <c r="A61" s="11" t="s">
        <v>617</v>
      </c>
      <c r="B61" s="113" t="s">
        <v>726</v>
      </c>
      <c r="C61" s="109" t="s">
        <v>850</v>
      </c>
      <c r="D61" s="109">
        <v>83410.759999999995</v>
      </c>
      <c r="E61" s="109">
        <v>86000</v>
      </c>
      <c r="F61" s="109">
        <v>-2589.2400000000052</v>
      </c>
      <c r="H61" s="109"/>
      <c r="I61" s="109"/>
      <c r="J61" s="115"/>
    </row>
    <row r="62" spans="1:10" x14ac:dyDescent="0.25">
      <c r="A62" s="11" t="s">
        <v>618</v>
      </c>
      <c r="B62" s="113" t="s">
        <v>727</v>
      </c>
      <c r="C62" s="109" t="s">
        <v>910</v>
      </c>
      <c r="D62" s="109">
        <v>29440</v>
      </c>
      <c r="E62" s="109">
        <v>35000</v>
      </c>
      <c r="F62" s="109">
        <v>-5560</v>
      </c>
      <c r="H62" s="109"/>
      <c r="I62" s="109"/>
      <c r="J62" s="115"/>
    </row>
    <row r="63" spans="1:10" x14ac:dyDescent="0.25">
      <c r="A63" s="11" t="s">
        <v>619</v>
      </c>
      <c r="B63" s="113" t="s">
        <v>728</v>
      </c>
      <c r="C63" s="109" t="s">
        <v>851</v>
      </c>
      <c r="D63" s="109">
        <v>1771.24</v>
      </c>
      <c r="E63" s="109">
        <v>1771.24</v>
      </c>
      <c r="F63" s="109">
        <v>0</v>
      </c>
      <c r="H63" s="109"/>
      <c r="I63" s="109"/>
      <c r="J63" s="115"/>
    </row>
    <row r="64" spans="1:10" x14ac:dyDescent="0.25">
      <c r="A64" s="11" t="s">
        <v>620</v>
      </c>
      <c r="B64" s="113" t="s">
        <v>729</v>
      </c>
      <c r="C64" s="109" t="s">
        <v>911</v>
      </c>
      <c r="D64" s="109">
        <v>12185.9</v>
      </c>
      <c r="E64" s="109">
        <v>6116</v>
      </c>
      <c r="F64" s="109">
        <v>6069.9</v>
      </c>
      <c r="H64" s="109"/>
      <c r="I64" s="109"/>
      <c r="J64" s="115"/>
    </row>
    <row r="65" spans="1:10" x14ac:dyDescent="0.25">
      <c r="A65" s="11" t="s">
        <v>621</v>
      </c>
      <c r="B65" s="113" t="s">
        <v>730</v>
      </c>
      <c r="C65" s="109" t="s">
        <v>852</v>
      </c>
      <c r="D65" s="109">
        <v>2558.56</v>
      </c>
      <c r="E65" s="109">
        <v>2558.56</v>
      </c>
      <c r="F65" s="109">
        <v>0</v>
      </c>
      <c r="H65" s="109"/>
      <c r="I65" s="109"/>
      <c r="J65" s="115"/>
    </row>
    <row r="66" spans="1:10" x14ac:dyDescent="0.25">
      <c r="A66" s="11" t="s">
        <v>623</v>
      </c>
      <c r="B66" s="113" t="s">
        <v>736</v>
      </c>
      <c r="C66" s="109" t="s">
        <v>853</v>
      </c>
      <c r="D66" s="109">
        <v>63000</v>
      </c>
      <c r="E66" s="109">
        <v>63000</v>
      </c>
      <c r="F66" s="109">
        <v>0</v>
      </c>
      <c r="H66" s="109"/>
      <c r="I66" s="109"/>
      <c r="J66" s="115"/>
    </row>
    <row r="67" spans="1:10" x14ac:dyDescent="0.25">
      <c r="A67" s="11" t="s">
        <v>624</v>
      </c>
      <c r="B67" s="113" t="s">
        <v>737</v>
      </c>
      <c r="C67" s="109" t="s">
        <v>854</v>
      </c>
      <c r="D67" s="109">
        <v>62507</v>
      </c>
      <c r="E67" s="109">
        <v>62507</v>
      </c>
      <c r="F67" s="109">
        <v>0</v>
      </c>
      <c r="H67" s="109"/>
      <c r="I67" s="109"/>
      <c r="J67" s="115"/>
    </row>
    <row r="68" spans="1:10" x14ac:dyDescent="0.25">
      <c r="A68" s="11" t="s">
        <v>625</v>
      </c>
      <c r="B68" s="113" t="s">
        <v>738</v>
      </c>
      <c r="C68" s="109" t="s">
        <v>855</v>
      </c>
      <c r="D68" s="109">
        <v>15442.02</v>
      </c>
      <c r="E68" s="109">
        <v>15442.02</v>
      </c>
      <c r="F68" s="109">
        <v>0</v>
      </c>
      <c r="H68" s="109"/>
      <c r="I68" s="109"/>
      <c r="J68" s="115"/>
    </row>
    <row r="69" spans="1:10" x14ac:dyDescent="0.25">
      <c r="A69" s="11" t="s">
        <v>626</v>
      </c>
      <c r="B69" s="113" t="s">
        <v>739</v>
      </c>
      <c r="C69" s="109" t="s">
        <v>856</v>
      </c>
      <c r="D69" s="109">
        <v>22489.93</v>
      </c>
      <c r="E69" s="109">
        <v>22489.93</v>
      </c>
      <c r="F69" s="109">
        <v>0</v>
      </c>
      <c r="H69" s="109"/>
      <c r="I69" s="109"/>
      <c r="J69" s="115"/>
    </row>
    <row r="70" spans="1:10" x14ac:dyDescent="0.25">
      <c r="A70" s="11" t="s">
        <v>628</v>
      </c>
      <c r="B70" s="113" t="s">
        <v>741</v>
      </c>
      <c r="C70" s="109" t="s">
        <v>857</v>
      </c>
      <c r="D70" s="109">
        <v>55533.21</v>
      </c>
      <c r="E70" s="109">
        <v>55533.21</v>
      </c>
      <c r="F70" s="109">
        <v>0</v>
      </c>
      <c r="H70" s="109"/>
      <c r="I70" s="109"/>
      <c r="J70" s="115"/>
    </row>
    <row r="71" spans="1:10" x14ac:dyDescent="0.25">
      <c r="A71" s="11" t="s">
        <v>629</v>
      </c>
      <c r="B71" s="113" t="s">
        <v>742</v>
      </c>
      <c r="C71" s="109" t="s">
        <v>858</v>
      </c>
      <c r="D71" s="109">
        <v>44854.09</v>
      </c>
      <c r="E71" s="109">
        <v>44854.09</v>
      </c>
      <c r="F71" s="109">
        <v>0</v>
      </c>
      <c r="H71" s="109"/>
      <c r="I71" s="109"/>
      <c r="J71" s="115"/>
    </row>
    <row r="72" spans="1:10" x14ac:dyDescent="0.25">
      <c r="A72" s="11" t="s">
        <v>630</v>
      </c>
      <c r="B72" s="113" t="s">
        <v>743</v>
      </c>
      <c r="C72" s="109" t="s">
        <v>859</v>
      </c>
      <c r="D72" s="109">
        <v>0</v>
      </c>
      <c r="E72" s="109">
        <v>142.4</v>
      </c>
      <c r="F72" s="109">
        <v>-142.4</v>
      </c>
      <c r="H72" s="109"/>
      <c r="I72" s="109"/>
      <c r="J72" s="115"/>
    </row>
    <row r="73" spans="1:10" x14ac:dyDescent="0.25">
      <c r="A73" s="11" t="s">
        <v>631</v>
      </c>
      <c r="B73" s="113" t="s">
        <v>744</v>
      </c>
      <c r="C73" s="109" t="s">
        <v>860</v>
      </c>
      <c r="D73" s="109">
        <v>16000</v>
      </c>
      <c r="E73" s="109">
        <v>10780.5</v>
      </c>
      <c r="F73" s="109">
        <v>5219.5</v>
      </c>
      <c r="H73" s="109"/>
      <c r="I73" s="109"/>
      <c r="J73" s="115"/>
    </row>
    <row r="74" spans="1:10" x14ac:dyDescent="0.25">
      <c r="A74" s="11" t="s">
        <v>632</v>
      </c>
      <c r="B74" s="113" t="s">
        <v>745</v>
      </c>
      <c r="C74" s="109" t="s">
        <v>860</v>
      </c>
      <c r="D74" s="109">
        <v>38169.86</v>
      </c>
      <c r="E74" s="109">
        <v>38169.86</v>
      </c>
      <c r="F74" s="109">
        <v>0</v>
      </c>
      <c r="H74" s="109"/>
      <c r="I74" s="109"/>
      <c r="J74" s="115"/>
    </row>
    <row r="75" spans="1:10" x14ac:dyDescent="0.25">
      <c r="A75" s="11" t="s">
        <v>633</v>
      </c>
      <c r="B75" s="113" t="s">
        <v>746</v>
      </c>
      <c r="C75" s="109" t="s">
        <v>861</v>
      </c>
      <c r="D75" s="109">
        <v>72737.119999999995</v>
      </c>
      <c r="E75" s="109">
        <v>72737.119999999995</v>
      </c>
      <c r="F75" s="109">
        <v>0</v>
      </c>
      <c r="H75" s="109"/>
      <c r="I75" s="109"/>
      <c r="J75" s="115"/>
    </row>
    <row r="76" spans="1:10" x14ac:dyDescent="0.25">
      <c r="A76" s="11" t="s">
        <v>634</v>
      </c>
      <c r="B76" s="113" t="s">
        <v>747</v>
      </c>
      <c r="C76" s="109" t="s">
        <v>862</v>
      </c>
      <c r="D76" s="109">
        <v>7767.45</v>
      </c>
      <c r="E76" s="109">
        <v>6000</v>
      </c>
      <c r="F76" s="109">
        <v>1767.4499999999998</v>
      </c>
      <c r="H76" s="109"/>
      <c r="I76" s="109"/>
      <c r="J76" s="115"/>
    </row>
    <row r="77" spans="1:10" x14ac:dyDescent="0.25">
      <c r="A77" s="11" t="s">
        <v>620</v>
      </c>
      <c r="B77" s="113" t="s">
        <v>753</v>
      </c>
      <c r="C77" s="109" t="s">
        <v>863</v>
      </c>
      <c r="D77" s="109">
        <v>513</v>
      </c>
      <c r="E77" s="109">
        <v>513</v>
      </c>
      <c r="F77" s="109">
        <v>0</v>
      </c>
      <c r="H77" s="109"/>
      <c r="I77" s="109"/>
      <c r="J77" s="115"/>
    </row>
    <row r="78" spans="1:10" x14ac:dyDescent="0.25">
      <c r="A78" s="11" t="s">
        <v>639</v>
      </c>
      <c r="B78" s="113" t="s">
        <v>754</v>
      </c>
      <c r="C78" s="109" t="s">
        <v>864</v>
      </c>
      <c r="D78" s="109">
        <v>83640.899999999994</v>
      </c>
      <c r="E78" s="109">
        <v>83640.899999999994</v>
      </c>
      <c r="F78" s="109">
        <v>0</v>
      </c>
      <c r="H78" s="109"/>
      <c r="I78" s="109"/>
      <c r="J78" s="115"/>
    </row>
    <row r="79" spans="1:10" x14ac:dyDescent="0.25">
      <c r="A79" s="11" t="s">
        <v>641</v>
      </c>
      <c r="B79" s="113" t="s">
        <v>756</v>
      </c>
      <c r="C79" s="109" t="s">
        <v>865</v>
      </c>
      <c r="D79" s="109">
        <v>819389.08</v>
      </c>
      <c r="E79" s="109">
        <v>819389.08</v>
      </c>
      <c r="F79" s="109">
        <v>0</v>
      </c>
      <c r="H79" s="109"/>
      <c r="I79" s="109"/>
      <c r="J79" s="115"/>
    </row>
    <row r="80" spans="1:10" x14ac:dyDescent="0.25">
      <c r="A80" s="11" t="s">
        <v>641</v>
      </c>
      <c r="B80" s="113" t="s">
        <v>757</v>
      </c>
      <c r="C80" s="109" t="s">
        <v>865</v>
      </c>
      <c r="D80" s="109">
        <v>114542.94</v>
      </c>
      <c r="E80" s="109">
        <v>144542.94</v>
      </c>
      <c r="F80" s="109">
        <v>-30000</v>
      </c>
      <c r="H80" s="109"/>
      <c r="I80" s="109"/>
      <c r="J80" s="115"/>
    </row>
    <row r="81" spans="1:10" x14ac:dyDescent="0.25">
      <c r="A81" s="11" t="s">
        <v>642</v>
      </c>
      <c r="B81" s="113" t="s">
        <v>758</v>
      </c>
      <c r="C81" s="109" t="s">
        <v>866</v>
      </c>
      <c r="D81" s="109">
        <v>1806000</v>
      </c>
      <c r="E81" s="109">
        <v>1806000</v>
      </c>
      <c r="F81" s="109">
        <v>0</v>
      </c>
      <c r="H81" s="109"/>
      <c r="I81" s="109"/>
      <c r="J81" s="115"/>
    </row>
    <row r="82" spans="1:10" x14ac:dyDescent="0.25">
      <c r="A82" s="11" t="s">
        <v>642</v>
      </c>
      <c r="B82" s="113" t="s">
        <v>765</v>
      </c>
      <c r="C82" s="109" t="s">
        <v>866</v>
      </c>
      <c r="D82" s="109">
        <v>76651.436663362634</v>
      </c>
      <c r="E82" s="109">
        <v>0</v>
      </c>
      <c r="F82" s="109">
        <v>76651.436663362634</v>
      </c>
      <c r="H82" s="109"/>
      <c r="I82" s="109"/>
      <c r="J82" s="115"/>
    </row>
    <row r="83" spans="1:10" x14ac:dyDescent="0.25">
      <c r="A83" s="11" t="s">
        <v>643</v>
      </c>
      <c r="B83" s="113" t="s">
        <v>766</v>
      </c>
      <c r="C83" s="109" t="s">
        <v>866</v>
      </c>
      <c r="D83" s="109">
        <v>74680.820000000007</v>
      </c>
      <c r="E83" s="109">
        <v>74680.820000000007</v>
      </c>
      <c r="F83" s="109">
        <v>0</v>
      </c>
      <c r="H83" s="109"/>
      <c r="I83" s="109"/>
      <c r="J83" s="115"/>
    </row>
    <row r="84" spans="1:10" x14ac:dyDescent="0.25">
      <c r="A84" s="11" t="s">
        <v>644</v>
      </c>
      <c r="B84" s="113" t="s">
        <v>767</v>
      </c>
      <c r="C84" s="109" t="s">
        <v>866</v>
      </c>
      <c r="D84" s="109">
        <v>24773.62</v>
      </c>
      <c r="E84" s="109">
        <v>13440</v>
      </c>
      <c r="F84" s="109">
        <v>11333.619999999999</v>
      </c>
      <c r="H84" s="109"/>
      <c r="I84" s="109"/>
      <c r="J84" s="115"/>
    </row>
    <row r="85" spans="1:10" x14ac:dyDescent="0.25">
      <c r="A85" s="11" t="s">
        <v>632</v>
      </c>
      <c r="B85" s="113" t="s">
        <v>768</v>
      </c>
      <c r="C85" s="109" t="s">
        <v>866</v>
      </c>
      <c r="D85" s="109">
        <v>10185</v>
      </c>
      <c r="E85" s="109">
        <v>0</v>
      </c>
      <c r="F85" s="109">
        <v>10185</v>
      </c>
      <c r="H85" s="109"/>
      <c r="I85" s="109"/>
      <c r="J85" s="115"/>
    </row>
    <row r="86" spans="1:10" x14ac:dyDescent="0.25">
      <c r="A86" s="11" t="s">
        <v>645</v>
      </c>
      <c r="B86" s="113" t="s">
        <v>770</v>
      </c>
      <c r="C86" s="109" t="s">
        <v>867</v>
      </c>
      <c r="D86" s="109">
        <v>836817.43</v>
      </c>
      <c r="E86" s="109">
        <v>836817.43</v>
      </c>
      <c r="F86" s="109">
        <v>0</v>
      </c>
      <c r="H86" s="109"/>
      <c r="I86" s="109"/>
      <c r="J86" s="115"/>
    </row>
    <row r="87" spans="1:10" x14ac:dyDescent="0.25">
      <c r="A87" s="11" t="s">
        <v>646</v>
      </c>
      <c r="B87" s="113" t="s">
        <v>771</v>
      </c>
      <c r="C87" s="109" t="s">
        <v>868</v>
      </c>
      <c r="D87" s="109">
        <v>43880.53</v>
      </c>
      <c r="E87" s="109">
        <v>43880.53</v>
      </c>
      <c r="F87" s="109">
        <v>0</v>
      </c>
      <c r="H87" s="109"/>
      <c r="I87" s="109"/>
      <c r="J87" s="115"/>
    </row>
    <row r="88" spans="1:10" x14ac:dyDescent="0.25">
      <c r="A88" s="11" t="s">
        <v>647</v>
      </c>
      <c r="B88" s="113" t="s">
        <v>772</v>
      </c>
      <c r="C88" s="109" t="s">
        <v>868</v>
      </c>
      <c r="D88" s="109">
        <v>678.87</v>
      </c>
      <c r="E88" s="109">
        <v>678.87</v>
      </c>
      <c r="F88" s="109">
        <v>0</v>
      </c>
      <c r="H88" s="109"/>
      <c r="I88" s="109"/>
      <c r="J88" s="115"/>
    </row>
    <row r="89" spans="1:10" x14ac:dyDescent="0.25">
      <c r="A89" s="11" t="s">
        <v>648</v>
      </c>
      <c r="B89" s="113" t="s">
        <v>773</v>
      </c>
      <c r="C89" s="109" t="s">
        <v>869</v>
      </c>
      <c r="D89" s="109">
        <v>2474.14</v>
      </c>
      <c r="E89" s="109">
        <v>2474.14</v>
      </c>
      <c r="F89" s="109">
        <v>0</v>
      </c>
      <c r="H89" s="109"/>
      <c r="I89" s="109"/>
      <c r="J89" s="115"/>
    </row>
    <row r="90" spans="1:10" x14ac:dyDescent="0.25">
      <c r="A90" s="11" t="s">
        <v>640</v>
      </c>
      <c r="B90" s="113" t="s">
        <v>775</v>
      </c>
      <c r="C90" s="109" t="s">
        <v>870</v>
      </c>
      <c r="D90" s="109">
        <v>0</v>
      </c>
      <c r="E90" s="109">
        <v>0</v>
      </c>
      <c r="F90" s="109">
        <v>0</v>
      </c>
      <c r="H90" s="109"/>
      <c r="I90" s="109"/>
      <c r="J90" s="115"/>
    </row>
    <row r="91" spans="1:10" x14ac:dyDescent="0.25">
      <c r="A91" s="11" t="s">
        <v>619</v>
      </c>
      <c r="B91" s="113" t="s">
        <v>776</v>
      </c>
      <c r="C91" s="109" t="s">
        <v>870</v>
      </c>
      <c r="D91" s="109">
        <v>1788.49</v>
      </c>
      <c r="E91" s="109">
        <v>1788.49</v>
      </c>
      <c r="F91" s="109">
        <v>0</v>
      </c>
      <c r="H91" s="109"/>
      <c r="I91" s="109"/>
      <c r="J91" s="115"/>
    </row>
    <row r="92" spans="1:10" x14ac:dyDescent="0.25">
      <c r="A92" s="11" t="s">
        <v>652</v>
      </c>
      <c r="B92" s="113" t="s">
        <v>779</v>
      </c>
      <c r="C92" s="109" t="s">
        <v>871</v>
      </c>
      <c r="D92" s="109">
        <v>85828.33</v>
      </c>
      <c r="E92" s="109">
        <v>85828.33</v>
      </c>
      <c r="F92" s="109">
        <v>0</v>
      </c>
      <c r="H92" s="109"/>
      <c r="I92" s="109"/>
      <c r="J92" s="115"/>
    </row>
    <row r="93" spans="1:10" x14ac:dyDescent="0.25">
      <c r="A93" s="11" t="s">
        <v>654</v>
      </c>
      <c r="B93" s="113" t="s">
        <v>781</v>
      </c>
      <c r="C93" s="109" t="s">
        <v>872</v>
      </c>
      <c r="D93" s="109">
        <v>420</v>
      </c>
      <c r="E93" s="109">
        <v>179.50684931506851</v>
      </c>
      <c r="F93" s="109">
        <v>0</v>
      </c>
      <c r="H93" s="109"/>
      <c r="I93" s="109"/>
      <c r="J93" s="115"/>
    </row>
    <row r="94" spans="1:10" x14ac:dyDescent="0.25">
      <c r="A94" s="11" t="s">
        <v>655</v>
      </c>
      <c r="B94" s="113" t="s">
        <v>782</v>
      </c>
      <c r="C94" s="109" t="s">
        <v>873</v>
      </c>
      <c r="D94" s="109">
        <v>8702</v>
      </c>
      <c r="E94" s="109">
        <v>8702</v>
      </c>
      <c r="F94" s="109">
        <v>0</v>
      </c>
      <c r="H94" s="109"/>
      <c r="I94" s="109"/>
      <c r="J94" s="115"/>
    </row>
    <row r="95" spans="1:10" x14ac:dyDescent="0.25">
      <c r="A95" s="11" t="s">
        <v>657</v>
      </c>
      <c r="B95" s="113" t="s">
        <v>796</v>
      </c>
      <c r="C95" s="109" t="s">
        <v>874</v>
      </c>
      <c r="D95" s="109">
        <v>3088.36</v>
      </c>
      <c r="E95" s="109">
        <v>0</v>
      </c>
      <c r="F95" s="109">
        <v>3088.36</v>
      </c>
      <c r="H95" s="109"/>
      <c r="I95" s="109"/>
      <c r="J95" s="115"/>
    </row>
    <row r="96" spans="1:10" x14ac:dyDescent="0.25">
      <c r="A96" s="11" t="s">
        <v>658</v>
      </c>
      <c r="B96" s="113" t="s">
        <v>797</v>
      </c>
      <c r="C96" s="109" t="s">
        <v>875</v>
      </c>
      <c r="D96" s="109">
        <v>500</v>
      </c>
      <c r="E96" s="109">
        <v>880</v>
      </c>
      <c r="F96" s="109">
        <v>-380</v>
      </c>
      <c r="H96" s="109"/>
      <c r="I96" s="109"/>
      <c r="J96" s="115"/>
    </row>
    <row r="97" spans="1:10" x14ac:dyDescent="0.25">
      <c r="A97" s="11" t="s">
        <v>659</v>
      </c>
      <c r="B97" s="113" t="s">
        <v>798</v>
      </c>
      <c r="C97" s="109" t="s">
        <v>876</v>
      </c>
      <c r="D97" s="109">
        <v>75140.08</v>
      </c>
      <c r="E97" s="109">
        <v>75140.08</v>
      </c>
      <c r="F97" s="109">
        <v>0</v>
      </c>
      <c r="H97" s="109"/>
      <c r="I97" s="109"/>
      <c r="J97" s="115"/>
    </row>
    <row r="98" spans="1:10" x14ac:dyDescent="0.25">
      <c r="A98" s="11" t="s">
        <v>663</v>
      </c>
      <c r="B98" s="113" t="s">
        <v>802</v>
      </c>
      <c r="C98" s="109" t="s">
        <v>877</v>
      </c>
      <c r="D98" s="109">
        <v>116104.27</v>
      </c>
      <c r="E98" s="109">
        <v>116104.27</v>
      </c>
      <c r="F98" s="109">
        <v>0</v>
      </c>
      <c r="H98" s="109"/>
      <c r="I98" s="109"/>
      <c r="J98" s="115"/>
    </row>
    <row r="99" spans="1:10" x14ac:dyDescent="0.25">
      <c r="A99" s="11" t="s">
        <v>654</v>
      </c>
      <c r="B99" s="113" t="s">
        <v>804</v>
      </c>
      <c r="C99" s="109" t="s">
        <v>878</v>
      </c>
      <c r="D99" s="109">
        <v>420</v>
      </c>
      <c r="E99" s="109">
        <v>104.7123287671233</v>
      </c>
      <c r="F99" s="109">
        <v>0</v>
      </c>
      <c r="H99" s="109"/>
      <c r="I99" s="109"/>
      <c r="J99" s="115"/>
    </row>
    <row r="100" spans="1:10" x14ac:dyDescent="0.25">
      <c r="A100" s="11" t="s">
        <v>667</v>
      </c>
      <c r="B100" s="113" t="s">
        <v>807</v>
      </c>
      <c r="C100" s="109" t="s">
        <v>879</v>
      </c>
      <c r="D100" s="109">
        <v>40335.339999999997</v>
      </c>
      <c r="E100" s="109">
        <v>40335.339999999997</v>
      </c>
      <c r="F100" s="109">
        <v>0</v>
      </c>
      <c r="H100" s="109"/>
      <c r="I100" s="109"/>
      <c r="J100" s="115"/>
    </row>
    <row r="101" spans="1:10" x14ac:dyDescent="0.25">
      <c r="A101" s="11" t="s">
        <v>668</v>
      </c>
      <c r="B101" s="113" t="s">
        <v>808</v>
      </c>
      <c r="C101" s="109" t="s">
        <v>880</v>
      </c>
      <c r="D101" s="109">
        <v>24960</v>
      </c>
      <c r="E101" s="109">
        <v>24960</v>
      </c>
      <c r="F101" s="109">
        <v>0</v>
      </c>
      <c r="H101" s="109"/>
      <c r="I101" s="109"/>
      <c r="J101" s="115"/>
    </row>
    <row r="102" spans="1:10" x14ac:dyDescent="0.25">
      <c r="A102" s="11" t="s">
        <v>669</v>
      </c>
      <c r="B102" s="113" t="s">
        <v>809</v>
      </c>
      <c r="C102" s="109" t="s">
        <v>881</v>
      </c>
      <c r="D102" s="109">
        <v>23040</v>
      </c>
      <c r="E102" s="109">
        <v>23040</v>
      </c>
      <c r="F102" s="109">
        <v>0</v>
      </c>
      <c r="H102" s="109"/>
      <c r="I102" s="109"/>
      <c r="J102" s="115"/>
    </row>
    <row r="103" spans="1:10" x14ac:dyDescent="0.25">
      <c r="A103" s="11" t="s">
        <v>671</v>
      </c>
      <c r="B103" s="113" t="s">
        <v>811</v>
      </c>
      <c r="C103" s="109" t="s">
        <v>882</v>
      </c>
      <c r="D103" s="109">
        <v>50400</v>
      </c>
      <c r="E103" s="109">
        <v>30518.48</v>
      </c>
      <c r="F103" s="109">
        <v>19881.52</v>
      </c>
      <c r="H103" s="109"/>
      <c r="I103" s="109"/>
      <c r="J103" s="115"/>
    </row>
    <row r="104" spans="1:10" x14ac:dyDescent="0.25">
      <c r="A104" s="11" t="s">
        <v>675</v>
      </c>
      <c r="B104" s="113" t="s">
        <v>815</v>
      </c>
      <c r="C104" s="109" t="s">
        <v>882</v>
      </c>
      <c r="D104" s="109">
        <v>52500</v>
      </c>
      <c r="E104" s="109">
        <v>52500</v>
      </c>
      <c r="F104" s="109">
        <v>0</v>
      </c>
      <c r="H104" s="109"/>
      <c r="I104" s="109"/>
      <c r="J104" s="115"/>
    </row>
    <row r="105" spans="1:10" x14ac:dyDescent="0.25">
      <c r="A105" s="11" t="s">
        <v>677</v>
      </c>
      <c r="B105" s="113" t="s">
        <v>817</v>
      </c>
      <c r="C105" s="109" t="s">
        <v>883</v>
      </c>
      <c r="D105" s="109">
        <v>13600</v>
      </c>
      <c r="E105" s="109">
        <v>13600</v>
      </c>
      <c r="F105" s="109">
        <v>0</v>
      </c>
      <c r="H105" s="109"/>
      <c r="I105" s="109"/>
      <c r="J105" s="115"/>
    </row>
    <row r="106" spans="1:10" x14ac:dyDescent="0.25">
      <c r="A106" s="11" t="s">
        <v>678</v>
      </c>
      <c r="B106" s="113" t="s">
        <v>818</v>
      </c>
      <c r="C106" s="109" t="s">
        <v>884</v>
      </c>
      <c r="D106" s="109">
        <v>0</v>
      </c>
      <c r="E106" s="109">
        <v>691.2</v>
      </c>
      <c r="F106" s="109">
        <v>-691.2</v>
      </c>
      <c r="H106" s="109"/>
      <c r="I106" s="109"/>
      <c r="J106" s="115"/>
    </row>
    <row r="107" spans="1:10" x14ac:dyDescent="0.25">
      <c r="A107" s="11" t="s">
        <v>680</v>
      </c>
      <c r="B107" s="113" t="s">
        <v>820</v>
      </c>
      <c r="C107" s="109" t="s">
        <v>885</v>
      </c>
      <c r="D107" s="109">
        <v>0</v>
      </c>
      <c r="E107" s="109">
        <v>162.13999999999999</v>
      </c>
      <c r="F107" s="109">
        <v>-162.13999999999999</v>
      </c>
      <c r="H107" s="109"/>
      <c r="I107" s="109"/>
      <c r="J107" s="115"/>
    </row>
    <row r="108" spans="1:10" x14ac:dyDescent="0.25">
      <c r="A108" s="11" t="s">
        <v>618</v>
      </c>
      <c r="B108" s="113" t="s">
        <v>821</v>
      </c>
      <c r="C108" s="109" t="s">
        <v>886</v>
      </c>
      <c r="D108" s="109">
        <v>158909.97</v>
      </c>
      <c r="E108" s="109">
        <v>158909.97</v>
      </c>
      <c r="F108" s="109">
        <v>0</v>
      </c>
      <c r="H108" s="109"/>
      <c r="I108" s="109"/>
      <c r="J108" s="115"/>
    </row>
    <row r="109" spans="1:10" x14ac:dyDescent="0.25">
      <c r="A109" s="11" t="s">
        <v>618</v>
      </c>
      <c r="B109" s="113" t="s">
        <v>822</v>
      </c>
      <c r="C109" s="109" t="s">
        <v>886</v>
      </c>
      <c r="D109" s="109">
        <v>566888.67000000004</v>
      </c>
      <c r="E109" s="109">
        <v>566888.67000000004</v>
      </c>
      <c r="F109" s="109">
        <v>0</v>
      </c>
      <c r="H109" s="109"/>
      <c r="I109" s="109"/>
      <c r="J109" s="115"/>
    </row>
    <row r="110" spans="1:10" x14ac:dyDescent="0.25">
      <c r="A110" s="11" t="s">
        <v>682</v>
      </c>
      <c r="B110" s="113" t="s">
        <v>824</v>
      </c>
      <c r="C110" s="109" t="s">
        <v>887</v>
      </c>
      <c r="D110" s="109">
        <v>41901.42</v>
      </c>
      <c r="E110" s="109">
        <v>41901.42</v>
      </c>
      <c r="F110" s="109">
        <v>0</v>
      </c>
      <c r="H110" s="109"/>
      <c r="I110" s="109"/>
      <c r="J110" s="115"/>
    </row>
    <row r="111" spans="1:10" x14ac:dyDescent="0.25">
      <c r="A111" s="11" t="s">
        <v>683</v>
      </c>
      <c r="B111" s="113" t="s">
        <v>825</v>
      </c>
      <c r="C111" s="109" t="s">
        <v>888</v>
      </c>
      <c r="D111" s="109">
        <v>131371.72</v>
      </c>
      <c r="E111" s="109">
        <v>131371.72</v>
      </c>
      <c r="F111" s="109">
        <v>0</v>
      </c>
      <c r="H111" s="109"/>
      <c r="I111" s="109"/>
      <c r="J111" s="115"/>
    </row>
    <row r="112" spans="1:10" x14ac:dyDescent="0.25">
      <c r="A112" s="11" t="s">
        <v>684</v>
      </c>
      <c r="B112" s="113" t="s">
        <v>826</v>
      </c>
      <c r="C112" s="109" t="s">
        <v>889</v>
      </c>
      <c r="D112" s="109">
        <v>45000</v>
      </c>
      <c r="E112" s="109">
        <v>16000</v>
      </c>
      <c r="F112" s="109">
        <v>29000</v>
      </c>
      <c r="H112" s="109"/>
      <c r="I112" s="109"/>
      <c r="J112" s="115"/>
    </row>
    <row r="113" spans="1:10" x14ac:dyDescent="0.25">
      <c r="A113" s="11" t="s">
        <v>685</v>
      </c>
      <c r="B113" s="113" t="s">
        <v>827</v>
      </c>
      <c r="C113" s="109" t="s">
        <v>890</v>
      </c>
      <c r="D113" s="109">
        <v>16929.2</v>
      </c>
      <c r="E113" s="109">
        <v>16929.2</v>
      </c>
      <c r="F113" s="109">
        <v>0</v>
      </c>
      <c r="H113" s="109"/>
      <c r="I113" s="109"/>
      <c r="J113" s="115"/>
    </row>
    <row r="114" spans="1:10" x14ac:dyDescent="0.25">
      <c r="A114" s="11" t="s">
        <v>686</v>
      </c>
      <c r="B114" s="113" t="s">
        <v>828</v>
      </c>
      <c r="C114" s="109" t="s">
        <v>891</v>
      </c>
      <c r="D114" s="109">
        <v>86189.59</v>
      </c>
      <c r="E114" s="109">
        <v>86189.59</v>
      </c>
      <c r="F114" s="109">
        <v>0</v>
      </c>
      <c r="H114" s="109"/>
      <c r="I114" s="109"/>
      <c r="J114" s="115"/>
    </row>
    <row r="115" spans="1:10" x14ac:dyDescent="0.25">
      <c r="A115" s="11" t="s">
        <v>687</v>
      </c>
      <c r="B115" s="113" t="s">
        <v>829</v>
      </c>
      <c r="C115" s="109" t="s">
        <v>892</v>
      </c>
      <c r="D115" s="109">
        <v>0</v>
      </c>
      <c r="E115" s="109">
        <v>0</v>
      </c>
      <c r="F115" s="109">
        <v>0</v>
      </c>
      <c r="H115" s="109"/>
      <c r="I115" s="109"/>
      <c r="J115" s="115"/>
    </row>
    <row r="116" spans="1:10" x14ac:dyDescent="0.25">
      <c r="A116" s="11" t="s">
        <v>688</v>
      </c>
      <c r="B116" s="113" t="s">
        <v>830</v>
      </c>
      <c r="C116" s="109" t="s">
        <v>893</v>
      </c>
      <c r="D116" s="109">
        <v>20000</v>
      </c>
      <c r="E116" s="109">
        <v>60752</v>
      </c>
      <c r="F116" s="109">
        <v>-40752</v>
      </c>
      <c r="H116" s="109"/>
      <c r="I116" s="109"/>
      <c r="J116" s="115"/>
    </row>
    <row r="117" spans="1:10" x14ac:dyDescent="0.25">
      <c r="A117" s="11" t="s">
        <v>613</v>
      </c>
      <c r="B117" s="113" t="s">
        <v>733</v>
      </c>
      <c r="C117" s="109">
        <v>0</v>
      </c>
      <c r="D117" s="109">
        <v>9951.6940273972614</v>
      </c>
      <c r="E117" s="109">
        <v>0</v>
      </c>
      <c r="F117" s="109">
        <v>9951.6940273972614</v>
      </c>
      <c r="H117" s="109"/>
      <c r="I117" s="109"/>
      <c r="J117" s="115"/>
    </row>
    <row r="118" spans="1:10" x14ac:dyDescent="0.25">
      <c r="A118" s="11" t="s">
        <v>613</v>
      </c>
      <c r="B118" s="113" t="s">
        <v>734</v>
      </c>
      <c r="C118" s="109">
        <v>0</v>
      </c>
      <c r="D118" s="109">
        <v>5359.7357876712331</v>
      </c>
      <c r="E118" s="109">
        <v>0</v>
      </c>
      <c r="F118" s="109">
        <v>5359.7357876712331</v>
      </c>
      <c r="H118" s="109"/>
      <c r="I118" s="109"/>
      <c r="J118" s="115"/>
    </row>
    <row r="119" spans="1:10" x14ac:dyDescent="0.25">
      <c r="A119" s="11" t="s">
        <v>612</v>
      </c>
      <c r="B119" s="113" t="s">
        <v>759</v>
      </c>
      <c r="C119" s="109">
        <v>0</v>
      </c>
      <c r="D119" s="109">
        <v>113147.99999999999</v>
      </c>
      <c r="E119" s="109">
        <v>113148</v>
      </c>
      <c r="F119" s="109">
        <v>0</v>
      </c>
      <c r="H119" s="109"/>
      <c r="I119" s="109"/>
      <c r="J119" s="115"/>
    </row>
    <row r="120" spans="1:10" x14ac:dyDescent="0.25">
      <c r="A120" s="11" t="s">
        <v>612</v>
      </c>
      <c r="B120" s="113" t="s">
        <v>760</v>
      </c>
      <c r="C120" s="109">
        <v>0</v>
      </c>
      <c r="D120" s="109">
        <v>66087.33</v>
      </c>
      <c r="E120" s="109">
        <v>66087.33</v>
      </c>
      <c r="F120" s="109">
        <v>0</v>
      </c>
      <c r="H120" s="109"/>
      <c r="I120" s="109"/>
      <c r="J120" s="115"/>
    </row>
    <row r="121" spans="1:10" x14ac:dyDescent="0.25">
      <c r="A121" s="11" t="s">
        <v>612</v>
      </c>
      <c r="B121" s="113" t="s">
        <v>761</v>
      </c>
      <c r="C121" s="109">
        <v>0</v>
      </c>
      <c r="D121" s="109">
        <v>105300</v>
      </c>
      <c r="E121" s="109">
        <v>105300</v>
      </c>
      <c r="F121" s="109">
        <v>0</v>
      </c>
      <c r="H121" s="109"/>
      <c r="I121" s="109"/>
      <c r="J121" s="115"/>
    </row>
    <row r="122" spans="1:10" x14ac:dyDescent="0.25">
      <c r="A122" s="11" t="s">
        <v>612</v>
      </c>
      <c r="B122" s="113" t="s">
        <v>762</v>
      </c>
      <c r="C122" s="109">
        <v>0</v>
      </c>
      <c r="D122" s="109">
        <v>32601.599999999995</v>
      </c>
      <c r="E122" s="109">
        <v>32601.599999999999</v>
      </c>
      <c r="F122" s="109">
        <v>0</v>
      </c>
      <c r="H122" s="109"/>
      <c r="I122" s="109"/>
      <c r="J122" s="115"/>
    </row>
    <row r="123" spans="1:10" x14ac:dyDescent="0.25">
      <c r="A123" s="11" t="s">
        <v>612</v>
      </c>
      <c r="B123" s="113" t="s">
        <v>763</v>
      </c>
      <c r="C123" s="109">
        <v>0</v>
      </c>
      <c r="D123" s="109">
        <v>93340.799999999988</v>
      </c>
      <c r="E123" s="109">
        <v>93340.800000000003</v>
      </c>
      <c r="F123" s="109">
        <v>0</v>
      </c>
      <c r="H123" s="109"/>
      <c r="I123" s="109"/>
      <c r="J123" s="115"/>
    </row>
    <row r="124" spans="1:10" x14ac:dyDescent="0.25">
      <c r="A124" s="11" t="s">
        <v>612</v>
      </c>
      <c r="B124" s="113" t="s">
        <v>764</v>
      </c>
      <c r="C124" s="109">
        <v>0</v>
      </c>
      <c r="D124" s="109">
        <v>0</v>
      </c>
      <c r="E124" s="109">
        <v>0</v>
      </c>
      <c r="F124" s="109">
        <v>0</v>
      </c>
      <c r="H124" s="109"/>
      <c r="I124" s="109"/>
      <c r="J124" s="115"/>
    </row>
    <row r="125" spans="1:10" x14ac:dyDescent="0.25">
      <c r="A125" s="11" t="s">
        <v>656</v>
      </c>
      <c r="B125" s="113" t="s">
        <v>783</v>
      </c>
      <c r="C125" s="109">
        <v>0</v>
      </c>
      <c r="D125" s="109">
        <v>243750.00000000003</v>
      </c>
      <c r="E125" s="109">
        <v>0</v>
      </c>
      <c r="F125" s="109">
        <v>243750.00000000003</v>
      </c>
      <c r="H125" s="109"/>
      <c r="I125" s="109"/>
      <c r="J125" s="115"/>
    </row>
    <row r="126" spans="1:10" x14ac:dyDescent="0.25">
      <c r="A126" s="11" t="s">
        <v>656</v>
      </c>
      <c r="B126" s="113" t="s">
        <v>784</v>
      </c>
      <c r="C126" s="109">
        <v>0</v>
      </c>
      <c r="D126" s="109">
        <v>121394.15999999997</v>
      </c>
      <c r="E126" s="109">
        <v>121394.16</v>
      </c>
      <c r="F126" s="109">
        <v>0</v>
      </c>
      <c r="H126" s="109"/>
      <c r="I126" s="109"/>
      <c r="J126" s="115"/>
    </row>
    <row r="127" spans="1:10" x14ac:dyDescent="0.25">
      <c r="A127" s="11" t="s">
        <v>656</v>
      </c>
      <c r="B127" s="113" t="s">
        <v>785</v>
      </c>
      <c r="C127" s="109">
        <v>0</v>
      </c>
      <c r="D127" s="109">
        <v>302982.01643835625</v>
      </c>
      <c r="E127" s="109">
        <v>302982.02</v>
      </c>
      <c r="F127" s="109">
        <v>-3.561643767170608E-3</v>
      </c>
      <c r="H127" s="109"/>
      <c r="I127" s="109"/>
      <c r="J127" s="115"/>
    </row>
    <row r="128" spans="1:10" x14ac:dyDescent="0.25">
      <c r="A128" s="11" t="s">
        <v>656</v>
      </c>
      <c r="B128" s="113" t="s">
        <v>786</v>
      </c>
      <c r="C128" s="109">
        <v>0</v>
      </c>
      <c r="D128" s="109">
        <v>2052892.6320547946</v>
      </c>
      <c r="E128" s="109">
        <v>2052892.63</v>
      </c>
      <c r="F128" s="109">
        <v>2.0547946915030479E-3</v>
      </c>
      <c r="H128" s="109"/>
      <c r="I128" s="109"/>
      <c r="J128" s="115"/>
    </row>
    <row r="129" spans="1:10" x14ac:dyDescent="0.25">
      <c r="A129" s="11" t="s">
        <v>656</v>
      </c>
      <c r="B129" s="113" t="s">
        <v>787</v>
      </c>
      <c r="C129" s="109">
        <v>0</v>
      </c>
      <c r="D129" s="109">
        <v>4790082.8047671234</v>
      </c>
      <c r="E129" s="109">
        <v>4790082.8</v>
      </c>
      <c r="F129" s="109">
        <v>4.7671236097812653E-3</v>
      </c>
      <c r="H129" s="109"/>
      <c r="I129" s="109"/>
      <c r="J129" s="115"/>
    </row>
    <row r="130" spans="1:10" x14ac:dyDescent="0.25">
      <c r="A130" s="11" t="s">
        <v>656</v>
      </c>
      <c r="B130" s="113" t="s">
        <v>788</v>
      </c>
      <c r="C130" s="109">
        <v>0</v>
      </c>
      <c r="D130" s="109">
        <v>156240</v>
      </c>
      <c r="E130" s="109">
        <v>156240</v>
      </c>
      <c r="F130" s="109">
        <v>0</v>
      </c>
      <c r="H130" s="109"/>
      <c r="I130" s="109"/>
      <c r="J130" s="115"/>
    </row>
    <row r="131" spans="1:10" x14ac:dyDescent="0.25">
      <c r="A131" s="11" t="s">
        <v>656</v>
      </c>
      <c r="B131" s="113" t="s">
        <v>789</v>
      </c>
      <c r="C131" s="109">
        <v>0</v>
      </c>
      <c r="D131" s="109">
        <v>8257.4449972602742</v>
      </c>
      <c r="E131" s="109">
        <v>8257.44</v>
      </c>
      <c r="F131" s="109">
        <v>4.997260273739812E-3</v>
      </c>
      <c r="H131" s="109"/>
      <c r="I131" s="109"/>
      <c r="J131" s="115"/>
    </row>
    <row r="132" spans="1:10" x14ac:dyDescent="0.25">
      <c r="A132" s="11" t="s">
        <v>656</v>
      </c>
      <c r="B132" s="113" t="s">
        <v>790</v>
      </c>
      <c r="C132" s="109">
        <v>0</v>
      </c>
      <c r="D132" s="109">
        <v>19259.371660273973</v>
      </c>
      <c r="E132" s="109">
        <v>19259.37</v>
      </c>
      <c r="F132" s="109">
        <v>1.6602739742666017E-3</v>
      </c>
      <c r="H132" s="109"/>
      <c r="I132" s="109"/>
      <c r="J132" s="115"/>
    </row>
    <row r="133" spans="1:10" x14ac:dyDescent="0.25">
      <c r="A133" s="11" t="s">
        <v>656</v>
      </c>
      <c r="B133" s="113" t="s">
        <v>791</v>
      </c>
      <c r="C133" s="109">
        <v>0</v>
      </c>
      <c r="D133" s="109">
        <v>29236.719780821917</v>
      </c>
      <c r="E133" s="109">
        <v>29236.720000000001</v>
      </c>
      <c r="F133" s="109">
        <v>-2.1917808408034034E-4</v>
      </c>
      <c r="H133" s="109"/>
      <c r="I133" s="109"/>
      <c r="J133" s="115"/>
    </row>
    <row r="134" spans="1:10" x14ac:dyDescent="0.25">
      <c r="A134" s="11" t="s">
        <v>656</v>
      </c>
      <c r="B134" s="113" t="s">
        <v>792</v>
      </c>
      <c r="C134" s="109">
        <v>0</v>
      </c>
      <c r="D134" s="109">
        <v>43215.109247945191</v>
      </c>
      <c r="E134" s="109">
        <v>43215.11</v>
      </c>
      <c r="F134" s="109">
        <v>-7.5205480970907956E-4</v>
      </c>
      <c r="H134" s="109"/>
      <c r="I134" s="109"/>
      <c r="J134" s="115"/>
    </row>
    <row r="135" spans="1:10" x14ac:dyDescent="0.25">
      <c r="A135" s="11" t="s">
        <v>656</v>
      </c>
      <c r="B135" s="113" t="s">
        <v>793</v>
      </c>
      <c r="C135" s="109">
        <v>0</v>
      </c>
      <c r="D135" s="109">
        <v>100835.24788082189</v>
      </c>
      <c r="E135" s="109">
        <v>100835.25</v>
      </c>
      <c r="F135" s="109">
        <v>-2.1191781124798581E-3</v>
      </c>
      <c r="H135" s="109"/>
      <c r="I135" s="109"/>
      <c r="J135" s="115"/>
    </row>
    <row r="136" spans="1:10" x14ac:dyDescent="0.25">
      <c r="A136" s="11" t="s">
        <v>656</v>
      </c>
      <c r="B136" s="113" t="s">
        <v>794</v>
      </c>
      <c r="C136" s="109">
        <v>0</v>
      </c>
      <c r="D136" s="109">
        <v>11134.462684931506</v>
      </c>
      <c r="E136" s="109">
        <v>11134.46</v>
      </c>
      <c r="F136" s="109">
        <v>2.6849315072468016E-3</v>
      </c>
      <c r="H136" s="109"/>
      <c r="I136" s="109"/>
      <c r="J136" s="115"/>
    </row>
    <row r="137" spans="1:10" x14ac:dyDescent="0.25">
      <c r="A137" s="11" t="s">
        <v>656</v>
      </c>
      <c r="B137" s="113" t="s">
        <v>795</v>
      </c>
      <c r="C137" s="109">
        <v>0</v>
      </c>
      <c r="D137" s="109">
        <v>37543.384615384624</v>
      </c>
      <c r="E137" s="109">
        <v>37543.379999999997</v>
      </c>
      <c r="F137" s="109">
        <v>4.6153846269589849E-3</v>
      </c>
      <c r="H137" s="109"/>
      <c r="I137" s="109"/>
      <c r="J137" s="115"/>
    </row>
    <row r="138" spans="1:10" x14ac:dyDescent="0.25">
      <c r="A138" s="11" t="s">
        <v>670</v>
      </c>
      <c r="B138" s="113" t="s">
        <v>810</v>
      </c>
      <c r="C138" s="109">
        <v>0</v>
      </c>
      <c r="D138" s="109">
        <v>0</v>
      </c>
      <c r="E138" s="109">
        <v>200000</v>
      </c>
      <c r="F138" s="109">
        <v>-200000</v>
      </c>
      <c r="H138" s="109"/>
      <c r="I138" s="109"/>
      <c r="J138" s="115"/>
    </row>
    <row r="139" spans="1:10" x14ac:dyDescent="0.25">
      <c r="A139" s="11" t="s">
        <v>689</v>
      </c>
      <c r="B139" s="113" t="s">
        <v>831</v>
      </c>
      <c r="C139" s="109">
        <v>0</v>
      </c>
      <c r="D139" s="109">
        <v>75000</v>
      </c>
      <c r="E139" s="109">
        <v>40000</v>
      </c>
      <c r="F139" s="109">
        <v>35000</v>
      </c>
      <c r="H139" s="109"/>
      <c r="I139" s="109"/>
      <c r="J139" s="115"/>
    </row>
    <row r="140" spans="1:10" x14ac:dyDescent="0.25">
      <c r="A140" s="11" t="s">
        <v>690</v>
      </c>
      <c r="B140" s="113" t="s">
        <v>832</v>
      </c>
      <c r="C140" s="109">
        <v>0</v>
      </c>
      <c r="D140" s="109">
        <v>0</v>
      </c>
      <c r="E140" s="109">
        <v>0</v>
      </c>
      <c r="F140" s="109">
        <v>0</v>
      </c>
      <c r="H140" s="109"/>
      <c r="I140" s="109"/>
      <c r="J140" s="115"/>
    </row>
    <row r="141" spans="1:10" x14ac:dyDescent="0.25">
      <c r="A141" s="11" t="s">
        <v>692</v>
      </c>
      <c r="B141" s="113" t="s">
        <v>834</v>
      </c>
      <c r="C141" s="109">
        <v>0</v>
      </c>
      <c r="D141" s="109">
        <v>116179.08</v>
      </c>
      <c r="E141" s="109">
        <v>116179.08</v>
      </c>
      <c r="F141" s="109">
        <v>0</v>
      </c>
      <c r="H141" s="109"/>
      <c r="I141" s="109"/>
      <c r="J141" s="115"/>
    </row>
    <row r="142" spans="1:10" x14ac:dyDescent="0.25">
      <c r="A142" s="11" t="s">
        <v>693</v>
      </c>
      <c r="B142" s="113" t="s">
        <v>835</v>
      </c>
      <c r="C142" s="109">
        <v>0</v>
      </c>
      <c r="D142" s="109">
        <v>172.5</v>
      </c>
      <c r="E142" s="109">
        <v>172.5</v>
      </c>
      <c r="F142" s="109">
        <v>0</v>
      </c>
      <c r="H142" s="109"/>
      <c r="I142" s="109"/>
      <c r="J142" s="115"/>
    </row>
    <row r="143" spans="1:10" x14ac:dyDescent="0.25">
      <c r="B143" s="113"/>
      <c r="C143" s="109"/>
      <c r="D143" s="109"/>
      <c r="E143" s="109"/>
      <c r="F143" s="109"/>
      <c r="H143" s="109"/>
      <c r="I143" s="109"/>
      <c r="J143" s="115"/>
    </row>
    <row r="144" spans="1:10" x14ac:dyDescent="0.25">
      <c r="B144" s="113"/>
      <c r="C144" s="109"/>
      <c r="D144" s="109"/>
      <c r="E144" s="109"/>
      <c r="F144" s="109"/>
      <c r="H144" s="109"/>
      <c r="I144" s="109"/>
      <c r="J144" s="115"/>
    </row>
    <row r="145" spans="1:10" x14ac:dyDescent="0.25">
      <c r="B145" s="113"/>
      <c r="C145" s="109"/>
      <c r="D145" s="109"/>
      <c r="E145" s="109"/>
      <c r="F145" s="109"/>
      <c r="H145" s="109"/>
      <c r="I145" s="109"/>
      <c r="J145" s="115"/>
    </row>
    <row r="146" spans="1:10" ht="26.1" customHeight="1" x14ac:dyDescent="0.3">
      <c r="A146" s="108" t="s">
        <v>562</v>
      </c>
      <c r="B146" s="108"/>
      <c r="C146" s="108"/>
      <c r="D146" s="108"/>
      <c r="E146" s="108"/>
      <c r="F146" s="108"/>
      <c r="G146" s="108"/>
      <c r="H146" s="108"/>
      <c r="I146" s="108"/>
      <c r="J146" s="108"/>
    </row>
    <row r="147" spans="1:10" x14ac:dyDescent="0.25">
      <c r="A147" t="s">
        <v>7</v>
      </c>
      <c r="B147" t="s">
        <v>75</v>
      </c>
      <c r="C147" s="109" t="s">
        <v>553</v>
      </c>
      <c r="D147" s="109" t="s">
        <v>554</v>
      </c>
      <c r="E147" s="109" t="s">
        <v>558</v>
      </c>
      <c r="G147" t="s">
        <v>840</v>
      </c>
      <c r="H147" s="109" t="s">
        <v>553</v>
      </c>
      <c r="I147" s="109" t="s">
        <v>554</v>
      </c>
      <c r="J147" s="109" t="s">
        <v>558</v>
      </c>
    </row>
    <row r="148" spans="1:10" x14ac:dyDescent="0.25">
      <c r="A148" t="s">
        <v>894</v>
      </c>
      <c r="B148" t="s">
        <v>839</v>
      </c>
      <c r="C148" s="109" t="s">
        <v>839</v>
      </c>
      <c r="D148" s="109" t="s">
        <v>839</v>
      </c>
      <c r="E148" s="109" t="s">
        <v>839</v>
      </c>
      <c r="G148" t="s">
        <v>895</v>
      </c>
      <c r="H148" s="109">
        <v>0</v>
      </c>
      <c r="I148" s="109">
        <v>0</v>
      </c>
      <c r="J148" s="109">
        <v>0</v>
      </c>
    </row>
    <row r="149" spans="1:10" x14ac:dyDescent="0.25">
      <c r="A149" t="s">
        <v>839</v>
      </c>
      <c r="B149" t="s">
        <v>839</v>
      </c>
      <c r="C149" s="109" t="s">
        <v>839</v>
      </c>
      <c r="D149" s="109" t="s">
        <v>839</v>
      </c>
      <c r="E149" s="109" t="s">
        <v>839</v>
      </c>
      <c r="G149" t="s">
        <v>839</v>
      </c>
      <c r="H149" s="109" t="s">
        <v>839</v>
      </c>
      <c r="I149" s="109" t="s">
        <v>839</v>
      </c>
      <c r="J149" s="109" t="s">
        <v>839</v>
      </c>
    </row>
    <row r="150" spans="1:10" x14ac:dyDescent="0.25">
      <c r="A150" t="s">
        <v>839</v>
      </c>
      <c r="B150" t="s">
        <v>839</v>
      </c>
      <c r="C150" s="109" t="s">
        <v>839</v>
      </c>
      <c r="D150" s="109" t="s">
        <v>839</v>
      </c>
      <c r="E150" s="109" t="s">
        <v>839</v>
      </c>
      <c r="G150" t="s">
        <v>839</v>
      </c>
      <c r="H150" s="109" t="s">
        <v>839</v>
      </c>
      <c r="I150" s="109" t="s">
        <v>839</v>
      </c>
      <c r="J150" s="109" t="s">
        <v>839</v>
      </c>
    </row>
    <row r="151" spans="1:10" ht="18.75" x14ac:dyDescent="0.3">
      <c r="A151" s="116" t="s">
        <v>896</v>
      </c>
      <c r="B151" t="s">
        <v>839</v>
      </c>
      <c r="C151" s="109" t="s">
        <v>839</v>
      </c>
      <c r="D151" s="109" t="s">
        <v>839</v>
      </c>
      <c r="E151" s="109" t="s">
        <v>839</v>
      </c>
      <c r="G151" t="s">
        <v>839</v>
      </c>
      <c r="H151" s="109" t="s">
        <v>839</v>
      </c>
      <c r="I151" s="109" t="s">
        <v>839</v>
      </c>
      <c r="J151" s="109" t="s">
        <v>839</v>
      </c>
    </row>
    <row r="152" spans="1:10" x14ac:dyDescent="0.25">
      <c r="A152" t="s">
        <v>7</v>
      </c>
      <c r="B152" t="s">
        <v>75</v>
      </c>
      <c r="C152" s="109" t="s">
        <v>553</v>
      </c>
      <c r="D152" s="109" t="s">
        <v>554</v>
      </c>
      <c r="E152" s="109" t="s">
        <v>558</v>
      </c>
      <c r="G152" t="s">
        <v>897</v>
      </c>
      <c r="H152" s="109" t="s">
        <v>553</v>
      </c>
      <c r="I152" s="109" t="s">
        <v>554</v>
      </c>
      <c r="J152" s="109" t="s">
        <v>558</v>
      </c>
    </row>
    <row r="153" spans="1:10" x14ac:dyDescent="0.25">
      <c r="A153" t="s">
        <v>591</v>
      </c>
      <c r="B153" t="s">
        <v>698</v>
      </c>
      <c r="C153" s="109">
        <v>5687336</v>
      </c>
      <c r="D153" s="109">
        <v>5687336</v>
      </c>
      <c r="E153" s="109">
        <v>0</v>
      </c>
      <c r="G153" t="s">
        <v>898</v>
      </c>
      <c r="H153" s="109">
        <v>7659712.8425893756</v>
      </c>
      <c r="I153" s="109">
        <v>7659312.8399999999</v>
      </c>
      <c r="J153" s="109">
        <v>400.00258937513718</v>
      </c>
    </row>
    <row r="154" spans="1:10" x14ac:dyDescent="0.25">
      <c r="A154" t="s">
        <v>598</v>
      </c>
      <c r="B154" t="s">
        <v>705</v>
      </c>
      <c r="C154" s="109">
        <v>302217</v>
      </c>
      <c r="D154" s="109">
        <v>302217</v>
      </c>
      <c r="E154" s="109">
        <v>0</v>
      </c>
      <c r="H154" s="109"/>
      <c r="I154" s="109"/>
      <c r="J154" s="109"/>
    </row>
    <row r="155" spans="1:10" x14ac:dyDescent="0.25">
      <c r="A155" t="s">
        <v>599</v>
      </c>
      <c r="B155" t="s">
        <v>706</v>
      </c>
      <c r="C155" s="109">
        <v>3630.0000000000005</v>
      </c>
      <c r="D155" s="109">
        <v>3630</v>
      </c>
      <c r="E155" s="109">
        <v>0</v>
      </c>
      <c r="H155" s="109"/>
      <c r="I155" s="109"/>
      <c r="J155" s="109"/>
    </row>
    <row r="156" spans="1:10" x14ac:dyDescent="0.25">
      <c r="A156" t="s">
        <v>604</v>
      </c>
      <c r="B156" t="s">
        <v>711</v>
      </c>
      <c r="C156" s="109">
        <v>9600</v>
      </c>
      <c r="D156" s="109">
        <v>9600</v>
      </c>
      <c r="E156" s="109">
        <v>0</v>
      </c>
      <c r="H156" s="109"/>
      <c r="I156" s="109"/>
      <c r="J156" s="109"/>
    </row>
    <row r="157" spans="1:10" x14ac:dyDescent="0.25">
      <c r="A157" t="s">
        <v>605</v>
      </c>
      <c r="B157" t="s">
        <v>712</v>
      </c>
      <c r="C157" s="109">
        <v>15000</v>
      </c>
      <c r="D157" s="109">
        <v>15000</v>
      </c>
      <c r="E157" s="109">
        <v>0</v>
      </c>
      <c r="H157" s="109"/>
      <c r="I157" s="109"/>
      <c r="J157" s="109"/>
    </row>
    <row r="158" spans="1:10" x14ac:dyDescent="0.25">
      <c r="A158" t="s">
        <v>608</v>
      </c>
      <c r="B158" t="s">
        <v>715</v>
      </c>
      <c r="C158" s="109">
        <v>31886.842589375137</v>
      </c>
      <c r="D158" s="109">
        <v>31886.84</v>
      </c>
      <c r="E158" s="109">
        <v>2.5893751371768303E-3</v>
      </c>
      <c r="H158" s="109"/>
      <c r="I158" s="109"/>
      <c r="J158" s="109"/>
    </row>
    <row r="159" spans="1:10" x14ac:dyDescent="0.25">
      <c r="A159" t="s">
        <v>609</v>
      </c>
      <c r="B159" t="s">
        <v>716</v>
      </c>
      <c r="C159" s="109">
        <v>497</v>
      </c>
      <c r="D159" s="109">
        <v>497</v>
      </c>
      <c r="E159" s="109">
        <v>0</v>
      </c>
      <c r="H159" s="109"/>
      <c r="I159" s="109"/>
      <c r="J159" s="109"/>
    </row>
    <row r="160" spans="1:10" x14ac:dyDescent="0.25">
      <c r="A160" t="s">
        <v>610</v>
      </c>
      <c r="B160" t="s">
        <v>717</v>
      </c>
      <c r="C160" s="109">
        <v>0</v>
      </c>
      <c r="D160" s="109">
        <v>0</v>
      </c>
      <c r="E160" s="109">
        <v>0</v>
      </c>
      <c r="H160" s="109"/>
      <c r="I160" s="109"/>
      <c r="J160" s="109"/>
    </row>
    <row r="161" spans="1:10" x14ac:dyDescent="0.25">
      <c r="A161" t="s">
        <v>614</v>
      </c>
      <c r="B161" t="s">
        <v>722</v>
      </c>
      <c r="C161" s="109">
        <v>973271.20000000007</v>
      </c>
      <c r="D161" s="109">
        <v>973271.2</v>
      </c>
      <c r="E161" s="109">
        <v>0</v>
      </c>
      <c r="H161" s="109"/>
      <c r="I161" s="109"/>
      <c r="J161" s="109"/>
    </row>
    <row r="162" spans="1:10" x14ac:dyDescent="0.25">
      <c r="A162" t="s">
        <v>635</v>
      </c>
      <c r="B162" t="s">
        <v>748</v>
      </c>
      <c r="C162" s="109">
        <v>24000</v>
      </c>
      <c r="D162" s="109">
        <v>24000</v>
      </c>
      <c r="E162" s="109">
        <v>0</v>
      </c>
      <c r="H162" s="109"/>
      <c r="I162" s="109"/>
      <c r="J162" s="109"/>
    </row>
    <row r="163" spans="1:10" x14ac:dyDescent="0.25">
      <c r="A163" t="s">
        <v>635</v>
      </c>
      <c r="B163" t="s">
        <v>749</v>
      </c>
      <c r="C163" s="109">
        <v>2000</v>
      </c>
      <c r="D163" s="109">
        <v>2000</v>
      </c>
      <c r="E163" s="109">
        <v>0</v>
      </c>
      <c r="H163" s="109"/>
      <c r="I163" s="109"/>
      <c r="J163" s="109"/>
    </row>
    <row r="164" spans="1:10" x14ac:dyDescent="0.25">
      <c r="A164" t="s">
        <v>637</v>
      </c>
      <c r="B164" t="s">
        <v>751</v>
      </c>
      <c r="C164" s="109">
        <v>3024</v>
      </c>
      <c r="D164" s="109">
        <v>3024</v>
      </c>
      <c r="E164" s="109">
        <v>0</v>
      </c>
      <c r="H164" s="109"/>
      <c r="I164" s="109"/>
      <c r="J164" s="109"/>
    </row>
    <row r="165" spans="1:10" x14ac:dyDescent="0.25">
      <c r="A165" t="s">
        <v>638</v>
      </c>
      <c r="B165" t="s">
        <v>752</v>
      </c>
      <c r="C165" s="109">
        <v>13999.999999999998</v>
      </c>
      <c r="D165" s="109">
        <v>14000</v>
      </c>
      <c r="E165" s="109">
        <v>0</v>
      </c>
      <c r="H165" s="109"/>
      <c r="I165" s="109"/>
      <c r="J165" s="109"/>
    </row>
    <row r="166" spans="1:10" x14ac:dyDescent="0.25">
      <c r="A166" t="s">
        <v>640</v>
      </c>
      <c r="B166" t="s">
        <v>755</v>
      </c>
      <c r="C166" s="109">
        <v>0</v>
      </c>
      <c r="D166" s="109">
        <v>0</v>
      </c>
      <c r="E166" s="109">
        <v>0</v>
      </c>
      <c r="H166" s="109"/>
      <c r="I166" s="109"/>
      <c r="J166" s="109"/>
    </row>
    <row r="167" spans="1:10" x14ac:dyDescent="0.25">
      <c r="A167" t="s">
        <v>618</v>
      </c>
      <c r="B167" t="s">
        <v>769</v>
      </c>
      <c r="C167" s="109">
        <v>40000</v>
      </c>
      <c r="D167" s="109">
        <v>40000</v>
      </c>
      <c r="E167" s="109">
        <v>0</v>
      </c>
      <c r="H167" s="109"/>
      <c r="I167" s="109"/>
      <c r="J167" s="109"/>
    </row>
    <row r="168" spans="1:10" x14ac:dyDescent="0.25">
      <c r="A168" t="s">
        <v>649</v>
      </c>
      <c r="B168" t="s">
        <v>774</v>
      </c>
      <c r="C168" s="109">
        <v>296008</v>
      </c>
      <c r="D168" s="109">
        <v>296008</v>
      </c>
      <c r="E168" s="109">
        <v>0</v>
      </c>
      <c r="H168" s="109"/>
      <c r="I168" s="109"/>
      <c r="J168" s="109"/>
    </row>
    <row r="169" spans="1:10" x14ac:dyDescent="0.25">
      <c r="A169" t="s">
        <v>650</v>
      </c>
      <c r="B169" t="s">
        <v>777</v>
      </c>
      <c r="C169" s="109">
        <v>20620.800000000003</v>
      </c>
      <c r="D169" s="109">
        <v>20620.8</v>
      </c>
      <c r="E169" s="109">
        <v>0</v>
      </c>
      <c r="H169" s="109"/>
      <c r="I169" s="109"/>
      <c r="J169" s="109"/>
    </row>
    <row r="170" spans="1:10" x14ac:dyDescent="0.25">
      <c r="A170" t="s">
        <v>653</v>
      </c>
      <c r="B170" t="s">
        <v>780</v>
      </c>
      <c r="C170" s="109">
        <v>18000</v>
      </c>
      <c r="D170" s="109">
        <v>18000</v>
      </c>
      <c r="E170" s="109">
        <v>0</v>
      </c>
      <c r="H170" s="109"/>
      <c r="I170" s="109"/>
      <c r="J170" s="109"/>
    </row>
    <row r="171" spans="1:10" x14ac:dyDescent="0.25">
      <c r="A171" t="s">
        <v>664</v>
      </c>
      <c r="B171" t="s">
        <v>803</v>
      </c>
      <c r="C171" s="109">
        <v>99999.999999999985</v>
      </c>
      <c r="D171" s="109">
        <v>100000</v>
      </c>
      <c r="E171" s="109">
        <v>0</v>
      </c>
      <c r="H171" s="109"/>
      <c r="I171" s="109"/>
      <c r="J171" s="109"/>
    </row>
    <row r="172" spans="1:10" x14ac:dyDescent="0.25">
      <c r="A172" t="s">
        <v>665</v>
      </c>
      <c r="B172" t="s">
        <v>805</v>
      </c>
      <c r="C172" s="109">
        <v>11550</v>
      </c>
      <c r="D172" s="109">
        <v>11550</v>
      </c>
      <c r="E172" s="109">
        <v>0</v>
      </c>
      <c r="H172" s="109"/>
      <c r="I172" s="109"/>
      <c r="J172" s="109"/>
    </row>
    <row r="173" spans="1:10" x14ac:dyDescent="0.25">
      <c r="A173" t="s">
        <v>672</v>
      </c>
      <c r="B173" t="s">
        <v>812</v>
      </c>
      <c r="C173" s="109">
        <v>42000</v>
      </c>
      <c r="D173" s="109">
        <v>42000</v>
      </c>
      <c r="E173" s="109">
        <v>0</v>
      </c>
      <c r="H173" s="109"/>
      <c r="I173" s="109"/>
      <c r="J173" s="109"/>
    </row>
    <row r="174" spans="1:10" x14ac:dyDescent="0.25">
      <c r="A174" t="s">
        <v>673</v>
      </c>
      <c r="B174" t="s">
        <v>813</v>
      </c>
      <c r="C174" s="109">
        <v>27999.999999999996</v>
      </c>
      <c r="D174" s="109">
        <v>28000</v>
      </c>
      <c r="E174" s="109">
        <v>0</v>
      </c>
      <c r="H174" s="109"/>
      <c r="I174" s="109"/>
      <c r="J174" s="109"/>
    </row>
    <row r="175" spans="1:10" x14ac:dyDescent="0.25">
      <c r="A175" t="s">
        <v>676</v>
      </c>
      <c r="B175" t="s">
        <v>816</v>
      </c>
      <c r="C175" s="109">
        <v>7200</v>
      </c>
      <c r="D175" s="109">
        <v>7200</v>
      </c>
      <c r="E175" s="109">
        <v>0</v>
      </c>
      <c r="H175" s="109"/>
      <c r="I175" s="109"/>
      <c r="J175" s="109"/>
    </row>
    <row r="176" spans="1:10" x14ac:dyDescent="0.25">
      <c r="A176" t="s">
        <v>681</v>
      </c>
      <c r="B176" t="s">
        <v>823</v>
      </c>
      <c r="C176" s="109">
        <v>29472</v>
      </c>
      <c r="D176" s="109">
        <v>29472</v>
      </c>
      <c r="E176" s="109">
        <v>0</v>
      </c>
      <c r="H176" s="109"/>
      <c r="I176" s="109"/>
      <c r="J176" s="109"/>
    </row>
    <row r="177" spans="1:10" x14ac:dyDescent="0.25">
      <c r="A177" t="s">
        <v>691</v>
      </c>
      <c r="B177" t="s">
        <v>833</v>
      </c>
      <c r="C177" s="109">
        <v>400</v>
      </c>
      <c r="D177" s="109">
        <v>0</v>
      </c>
      <c r="E177" s="109">
        <v>400</v>
      </c>
      <c r="H177" s="109"/>
      <c r="I177" s="109"/>
      <c r="J177" s="109"/>
    </row>
    <row r="178" spans="1:10" x14ac:dyDescent="0.25">
      <c r="A178"/>
      <c r="B178"/>
      <c r="C178" s="109"/>
      <c r="D178" s="109"/>
      <c r="E178" s="109"/>
      <c r="H178" s="109"/>
      <c r="I178" s="109"/>
      <c r="J178" s="109"/>
    </row>
    <row r="179" spans="1:10" ht="26.1" customHeight="1" x14ac:dyDescent="0.3">
      <c r="A179" s="108" t="s">
        <v>563</v>
      </c>
      <c r="B179" s="108"/>
      <c r="C179" s="108"/>
      <c r="D179" s="108"/>
      <c r="E179" s="108"/>
      <c r="F179" s="108"/>
      <c r="G179" s="108"/>
      <c r="H179" s="108"/>
      <c r="I179" s="108"/>
      <c r="J179" s="108"/>
    </row>
    <row r="180" spans="1:10" x14ac:dyDescent="0.25">
      <c r="A180" t="s">
        <v>7</v>
      </c>
      <c r="B180" t="s">
        <v>75</v>
      </c>
      <c r="C180" s="109" t="s">
        <v>553</v>
      </c>
      <c r="D180" s="109" t="s">
        <v>554</v>
      </c>
      <c r="E180" s="109" t="s">
        <v>558</v>
      </c>
      <c r="G180" t="s">
        <v>840</v>
      </c>
      <c r="H180" s="109" t="s">
        <v>553</v>
      </c>
      <c r="I180" s="109" t="s">
        <v>554</v>
      </c>
      <c r="J180" s="109" t="s">
        <v>558</v>
      </c>
    </row>
    <row r="181" spans="1:10" x14ac:dyDescent="0.25">
      <c r="A181" t="s">
        <v>899</v>
      </c>
      <c r="B181" t="s">
        <v>839</v>
      </c>
      <c r="C181" s="109" t="s">
        <v>839</v>
      </c>
      <c r="D181" s="109" t="s">
        <v>839</v>
      </c>
      <c r="E181" s="109" t="s">
        <v>839</v>
      </c>
      <c r="G181" t="s">
        <v>895</v>
      </c>
      <c r="H181" s="109">
        <v>0</v>
      </c>
      <c r="I181" s="109">
        <v>0</v>
      </c>
      <c r="J181" s="109">
        <v>0</v>
      </c>
    </row>
    <row r="182" spans="1:10" x14ac:dyDescent="0.25">
      <c r="A182" t="s">
        <v>839</v>
      </c>
      <c r="B182" t="s">
        <v>839</v>
      </c>
      <c r="C182" s="109" t="s">
        <v>839</v>
      </c>
      <c r="D182" s="109" t="s">
        <v>839</v>
      </c>
      <c r="E182" s="109" t="s">
        <v>839</v>
      </c>
      <c r="G182" t="s">
        <v>839</v>
      </c>
      <c r="H182" s="109" t="s">
        <v>839</v>
      </c>
      <c r="I182" s="109" t="s">
        <v>839</v>
      </c>
      <c r="J182" s="109" t="s">
        <v>839</v>
      </c>
    </row>
    <row r="183" spans="1:10" x14ac:dyDescent="0.25">
      <c r="A183" t="s">
        <v>839</v>
      </c>
      <c r="B183" t="s">
        <v>839</v>
      </c>
      <c r="C183" s="109" t="s">
        <v>839</v>
      </c>
      <c r="D183" s="109" t="s">
        <v>839</v>
      </c>
      <c r="E183" s="109" t="s">
        <v>839</v>
      </c>
      <c r="G183" t="s">
        <v>839</v>
      </c>
      <c r="H183" s="109" t="s">
        <v>839</v>
      </c>
      <c r="I183" s="109" t="s">
        <v>839</v>
      </c>
      <c r="J183" s="109" t="s">
        <v>839</v>
      </c>
    </row>
    <row r="184" spans="1:10" ht="18.75" x14ac:dyDescent="0.3">
      <c r="A184" s="116" t="s">
        <v>900</v>
      </c>
      <c r="B184" t="s">
        <v>839</v>
      </c>
      <c r="C184" s="109" t="s">
        <v>839</v>
      </c>
      <c r="D184" s="109" t="s">
        <v>839</v>
      </c>
      <c r="E184" s="109" t="s">
        <v>839</v>
      </c>
      <c r="G184" t="s">
        <v>839</v>
      </c>
      <c r="H184" s="109" t="s">
        <v>839</v>
      </c>
      <c r="I184" s="109" t="s">
        <v>839</v>
      </c>
      <c r="J184" s="109" t="s">
        <v>839</v>
      </c>
    </row>
    <row r="185" spans="1:10" x14ac:dyDescent="0.25">
      <c r="A185" t="s">
        <v>7</v>
      </c>
      <c r="B185" t="s">
        <v>75</v>
      </c>
      <c r="C185" s="109" t="s">
        <v>553</v>
      </c>
      <c r="D185" s="109" t="s">
        <v>554</v>
      </c>
      <c r="E185" s="109" t="s">
        <v>558</v>
      </c>
      <c r="G185" t="s">
        <v>897</v>
      </c>
      <c r="H185" s="109" t="s">
        <v>553</v>
      </c>
      <c r="I185" s="109" t="s">
        <v>554</v>
      </c>
      <c r="J185" s="109" t="s">
        <v>558</v>
      </c>
    </row>
    <row r="186" spans="1:10" x14ac:dyDescent="0.25">
      <c r="A186" t="s">
        <v>616</v>
      </c>
      <c r="B186" t="s">
        <v>725</v>
      </c>
      <c r="C186" s="109">
        <v>99999.999999999985</v>
      </c>
      <c r="D186" s="109">
        <v>100000</v>
      </c>
      <c r="E186" s="109">
        <v>0</v>
      </c>
      <c r="G186" t="s">
        <v>901</v>
      </c>
      <c r="H186" s="109">
        <v>458748.67</v>
      </c>
      <c r="I186" s="109">
        <v>458748.67</v>
      </c>
      <c r="J186" s="109">
        <v>0</v>
      </c>
    </row>
    <row r="187" spans="1:10" x14ac:dyDescent="0.25">
      <c r="A187" t="s">
        <v>627</v>
      </c>
      <c r="B187" t="s">
        <v>740</v>
      </c>
      <c r="C187" s="109">
        <v>7830</v>
      </c>
      <c r="D187" s="109">
        <v>7830</v>
      </c>
      <c r="E187" s="109">
        <v>0</v>
      </c>
      <c r="H187" s="109"/>
      <c r="I187" s="109"/>
      <c r="J187" s="109"/>
    </row>
    <row r="188" spans="1:10" x14ac:dyDescent="0.25">
      <c r="A188" t="s">
        <v>636</v>
      </c>
      <c r="B188" t="s">
        <v>750</v>
      </c>
      <c r="C188" s="109">
        <v>875</v>
      </c>
      <c r="D188" s="109">
        <v>875</v>
      </c>
      <c r="E188" s="109">
        <v>0</v>
      </c>
      <c r="H188" s="109"/>
      <c r="I188" s="109"/>
      <c r="J188" s="109"/>
    </row>
    <row r="189" spans="1:10" x14ac:dyDescent="0.25">
      <c r="A189" t="s">
        <v>651</v>
      </c>
      <c r="B189" t="s">
        <v>778</v>
      </c>
      <c r="C189" s="109">
        <v>10000</v>
      </c>
      <c r="D189" s="109">
        <v>10000</v>
      </c>
      <c r="E189" s="109">
        <v>0</v>
      </c>
      <c r="H189" s="109"/>
      <c r="I189" s="109"/>
      <c r="J189" s="109"/>
    </row>
    <row r="190" spans="1:10" x14ac:dyDescent="0.25">
      <c r="A190" t="s">
        <v>660</v>
      </c>
      <c r="B190" t="s">
        <v>799</v>
      </c>
      <c r="C190" s="109">
        <v>1377</v>
      </c>
      <c r="D190" s="109">
        <v>1377</v>
      </c>
      <c r="E190" s="109">
        <v>0</v>
      </c>
      <c r="H190" s="109"/>
      <c r="I190" s="109"/>
      <c r="J190" s="109"/>
    </row>
    <row r="191" spans="1:10" x14ac:dyDescent="0.25">
      <c r="A191" t="s">
        <v>661</v>
      </c>
      <c r="B191" t="s">
        <v>800</v>
      </c>
      <c r="C191" s="109">
        <v>80000</v>
      </c>
      <c r="D191" s="109">
        <v>80000</v>
      </c>
      <c r="E191" s="109">
        <v>0</v>
      </c>
      <c r="H191" s="109"/>
      <c r="I191" s="109"/>
      <c r="J191" s="109"/>
    </row>
    <row r="192" spans="1:10" x14ac:dyDescent="0.25">
      <c r="A192" t="s">
        <v>662</v>
      </c>
      <c r="B192" t="s">
        <v>801</v>
      </c>
      <c r="C192" s="109">
        <v>2000</v>
      </c>
      <c r="D192" s="109">
        <v>2000</v>
      </c>
      <c r="E192" s="109">
        <v>0</v>
      </c>
      <c r="H192" s="109"/>
      <c r="I192" s="109"/>
      <c r="J192" s="109"/>
    </row>
    <row r="193" spans="1:10" x14ac:dyDescent="0.25">
      <c r="A193" t="s">
        <v>666</v>
      </c>
      <c r="B193" t="s">
        <v>806</v>
      </c>
      <c r="C193" s="109">
        <v>50000</v>
      </c>
      <c r="D193" s="109">
        <v>50000</v>
      </c>
      <c r="E193" s="109">
        <v>0</v>
      </c>
      <c r="H193" s="109"/>
      <c r="I193" s="109"/>
      <c r="J193" s="109"/>
    </row>
    <row r="194" spans="1:10" x14ac:dyDescent="0.25">
      <c r="A194" t="s">
        <v>674</v>
      </c>
      <c r="B194" t="s">
        <v>814</v>
      </c>
      <c r="C194" s="109">
        <v>186666.67</v>
      </c>
      <c r="D194" s="109">
        <v>186666.67</v>
      </c>
      <c r="E194" s="109">
        <v>0</v>
      </c>
      <c r="H194" s="109"/>
      <c r="I194" s="109"/>
      <c r="J194" s="109"/>
    </row>
    <row r="195" spans="1:10" x14ac:dyDescent="0.25">
      <c r="A195" t="s">
        <v>679</v>
      </c>
      <c r="B195" t="s">
        <v>819</v>
      </c>
      <c r="C195" s="109">
        <v>20000</v>
      </c>
      <c r="D195" s="109">
        <v>20000</v>
      </c>
      <c r="E195" s="109">
        <v>0</v>
      </c>
      <c r="H195" s="109"/>
      <c r="I195" s="109"/>
      <c r="J195" s="109"/>
    </row>
    <row r="196" spans="1:10" x14ac:dyDescent="0.25">
      <c r="A196"/>
      <c r="B196"/>
      <c r="C196" s="109"/>
      <c r="D196" s="109"/>
      <c r="E196" s="109"/>
      <c r="H196" s="109"/>
      <c r="I196" s="109"/>
      <c r="J196" s="109"/>
    </row>
    <row r="197" spans="1:10" x14ac:dyDescent="0.25">
      <c r="A197"/>
      <c r="B197"/>
      <c r="C197" s="109"/>
      <c r="D197" s="109"/>
      <c r="E197" s="109"/>
      <c r="H197" s="109"/>
      <c r="I197" s="109"/>
      <c r="J197" s="109"/>
    </row>
    <row r="198" spans="1:10" x14ac:dyDescent="0.25">
      <c r="A198"/>
      <c r="B198"/>
      <c r="C198" s="109"/>
      <c r="D198" s="109"/>
      <c r="E198" s="109"/>
      <c r="H198" s="109"/>
      <c r="I198" s="109"/>
      <c r="J198" s="109"/>
    </row>
    <row r="199" spans="1:10" x14ac:dyDescent="0.25">
      <c r="A199"/>
      <c r="B199"/>
      <c r="C199" s="109"/>
      <c r="D199" s="109"/>
      <c r="E199" s="109"/>
      <c r="H199" s="109"/>
      <c r="I199" s="109"/>
      <c r="J199" s="109"/>
    </row>
    <row r="200" spans="1:10" x14ac:dyDescent="0.25">
      <c r="A200"/>
      <c r="B200"/>
      <c r="C200" s="109"/>
      <c r="D200" s="109"/>
      <c r="E200" s="109"/>
      <c r="H200" s="109"/>
      <c r="I200" s="109"/>
      <c r="J200" s="109"/>
    </row>
    <row r="201" spans="1:10" x14ac:dyDescent="0.25">
      <c r="A201"/>
      <c r="B201"/>
      <c r="C201" s="109"/>
      <c r="D201" s="109"/>
      <c r="E201" s="109"/>
      <c r="H201" s="109"/>
      <c r="I201" s="109"/>
      <c r="J201" s="109"/>
    </row>
    <row r="202" spans="1:10" x14ac:dyDescent="0.25">
      <c r="A202"/>
      <c r="B202"/>
      <c r="C202" s="109"/>
      <c r="D202" s="109"/>
      <c r="E202" s="109"/>
      <c r="H202" s="109"/>
      <c r="I202" s="109"/>
      <c r="J202" s="109"/>
    </row>
    <row r="203" spans="1:10" x14ac:dyDescent="0.25">
      <c r="A203"/>
      <c r="B203"/>
      <c r="C203" s="109"/>
      <c r="D203" s="109"/>
      <c r="E203" s="109"/>
      <c r="H203" s="109"/>
      <c r="I203" s="109"/>
      <c r="J203" s="109"/>
    </row>
    <row r="204" spans="1:10" x14ac:dyDescent="0.25">
      <c r="A204"/>
      <c r="B204"/>
      <c r="C204" s="109"/>
      <c r="D204" s="109"/>
      <c r="E204" s="109"/>
      <c r="H204" s="109"/>
      <c r="I204" s="109"/>
      <c r="J204" s="109"/>
    </row>
    <row r="205" spans="1:10" x14ac:dyDescent="0.25">
      <c r="A205"/>
      <c r="B205"/>
      <c r="C205" s="109"/>
      <c r="D205" s="109"/>
      <c r="E205" s="109"/>
      <c r="H205" s="109"/>
      <c r="I205" s="109"/>
      <c r="J205" s="109"/>
    </row>
    <row r="206" spans="1:10" x14ac:dyDescent="0.25">
      <c r="A206"/>
      <c r="B206"/>
      <c r="C206" s="109"/>
      <c r="D206" s="109"/>
      <c r="E206" s="109"/>
      <c r="H206" s="109"/>
      <c r="I206" s="109"/>
      <c r="J206" s="109"/>
    </row>
    <row r="207" spans="1:10" x14ac:dyDescent="0.25">
      <c r="A207"/>
      <c r="B207"/>
      <c r="C207" s="109"/>
      <c r="D207" s="109"/>
      <c r="E207" s="109"/>
      <c r="H207" s="109"/>
      <c r="I207" s="109"/>
      <c r="J207" s="109"/>
    </row>
    <row r="208" spans="1:10" x14ac:dyDescent="0.25">
      <c r="A208"/>
      <c r="B208"/>
      <c r="C208" s="109"/>
      <c r="D208" s="109"/>
      <c r="E208" s="109"/>
      <c r="H208" s="109"/>
      <c r="I208" s="109"/>
      <c r="J208" s="109"/>
    </row>
    <row r="209" spans="1:10" x14ac:dyDescent="0.25">
      <c r="A209"/>
      <c r="B209"/>
      <c r="C209" s="109"/>
      <c r="D209" s="109"/>
      <c r="E209" s="109"/>
      <c r="H209" s="109"/>
      <c r="I209" s="109"/>
      <c r="J209" s="109"/>
    </row>
    <row r="210" spans="1:10" x14ac:dyDescent="0.25">
      <c r="A210"/>
      <c r="B210"/>
      <c r="C210" s="109"/>
      <c r="D210" s="109"/>
      <c r="E210" s="109"/>
      <c r="H210" s="109"/>
      <c r="I210" s="109"/>
      <c r="J210" s="109"/>
    </row>
    <row r="211" spans="1:10" x14ac:dyDescent="0.25">
      <c r="A211"/>
      <c r="B211"/>
      <c r="C211" s="109"/>
      <c r="D211" s="109"/>
      <c r="E211" s="109"/>
      <c r="H211" s="109"/>
      <c r="I211" s="109"/>
      <c r="J211" s="109"/>
    </row>
    <row r="212" spans="1:10" x14ac:dyDescent="0.25">
      <c r="A212"/>
      <c r="B212"/>
      <c r="C212" s="109"/>
      <c r="D212" s="109"/>
      <c r="E212" s="109"/>
      <c r="H212" s="109"/>
      <c r="I212" s="109"/>
      <c r="J212" s="109"/>
    </row>
    <row r="213" spans="1:10" x14ac:dyDescent="0.25">
      <c r="A213"/>
      <c r="B213"/>
      <c r="C213" s="109"/>
      <c r="D213" s="109"/>
      <c r="E213" s="109"/>
      <c r="H213" s="109"/>
      <c r="I213" s="109"/>
      <c r="J213" s="109"/>
    </row>
    <row r="214" spans="1:10" x14ac:dyDescent="0.25">
      <c r="A214"/>
      <c r="B214"/>
      <c r="C214" s="109"/>
      <c r="D214" s="109"/>
      <c r="E214" s="109"/>
      <c r="H214" s="109"/>
      <c r="I214" s="109"/>
      <c r="J214" s="109"/>
    </row>
    <row r="215" spans="1:10" x14ac:dyDescent="0.25">
      <c r="A215"/>
      <c r="B215"/>
      <c r="C215" s="109"/>
      <c r="D215" s="109"/>
      <c r="E215" s="109"/>
      <c r="H215" s="109"/>
      <c r="I215" s="109"/>
      <c r="J215" s="109"/>
    </row>
    <row r="216" spans="1:10" x14ac:dyDescent="0.25">
      <c r="A216"/>
      <c r="B216"/>
      <c r="C216" s="109"/>
      <c r="D216" s="109"/>
      <c r="E216" s="109"/>
      <c r="H216" s="109"/>
      <c r="I216" s="109"/>
      <c r="J216" s="109"/>
    </row>
    <row r="217" spans="1:10" x14ac:dyDescent="0.25">
      <c r="A217"/>
      <c r="B217"/>
      <c r="C217" s="109"/>
      <c r="D217" s="109"/>
      <c r="E217" s="109"/>
      <c r="H217" s="109"/>
      <c r="I217" s="109"/>
      <c r="J217" s="109"/>
    </row>
    <row r="218" spans="1:10" x14ac:dyDescent="0.25">
      <c r="A218"/>
      <c r="B218"/>
      <c r="C218" s="109"/>
      <c r="D218" s="109"/>
      <c r="E218" s="109"/>
      <c r="H218" s="109"/>
      <c r="I218" s="109"/>
      <c r="J218" s="109"/>
    </row>
    <row r="219" spans="1:10" x14ac:dyDescent="0.25">
      <c r="A219"/>
      <c r="B219"/>
      <c r="C219" s="109"/>
      <c r="D219" s="109"/>
      <c r="E219" s="109"/>
      <c r="H219" s="109"/>
      <c r="I219" s="109"/>
      <c r="J219" s="109"/>
    </row>
    <row r="220" spans="1:10" x14ac:dyDescent="0.25">
      <c r="A220"/>
      <c r="B220"/>
      <c r="C220" s="109"/>
      <c r="D220" s="109"/>
      <c r="E220" s="109"/>
      <c r="H220" s="109"/>
      <c r="I220" s="109"/>
      <c r="J220" s="109"/>
    </row>
    <row r="221" spans="1:10" x14ac:dyDescent="0.25">
      <c r="A221"/>
      <c r="B221"/>
      <c r="C221" s="109"/>
      <c r="D221" s="109"/>
      <c r="E221" s="109"/>
      <c r="H221" s="109"/>
      <c r="I221" s="109"/>
      <c r="J221" s="109"/>
    </row>
    <row r="222" spans="1:10" x14ac:dyDescent="0.25">
      <c r="A222"/>
      <c r="B222"/>
      <c r="C222" s="109"/>
      <c r="D222" s="109"/>
      <c r="E222" s="109"/>
      <c r="H222" s="109"/>
      <c r="I222" s="109"/>
      <c r="J222" s="109"/>
    </row>
    <row r="223" spans="1:10" x14ac:dyDescent="0.25">
      <c r="A223"/>
      <c r="B223"/>
      <c r="C223" s="109"/>
      <c r="D223" s="109"/>
      <c r="E223" s="109"/>
      <c r="H223" s="109"/>
      <c r="I223" s="109"/>
      <c r="J223" s="109"/>
    </row>
    <row r="224" spans="1:10" x14ac:dyDescent="0.25">
      <c r="A224"/>
      <c r="B224"/>
      <c r="C224" s="109"/>
      <c r="D224" s="109"/>
      <c r="E224" s="109"/>
      <c r="H224" s="109"/>
      <c r="I224" s="109"/>
      <c r="J224" s="109"/>
    </row>
    <row r="225" spans="1:10" x14ac:dyDescent="0.25">
      <c r="A225"/>
      <c r="B225"/>
      <c r="C225" s="109"/>
      <c r="D225" s="109"/>
      <c r="E225" s="109"/>
      <c r="H225" s="109"/>
      <c r="I225" s="109"/>
      <c r="J225" s="109"/>
    </row>
    <row r="226" spans="1:10" x14ac:dyDescent="0.25">
      <c r="A226"/>
      <c r="B226"/>
      <c r="C226" s="109"/>
      <c r="D226" s="109"/>
      <c r="E226" s="109"/>
      <c r="H226" s="109"/>
      <c r="I226" s="109"/>
      <c r="J226" s="109"/>
    </row>
    <row r="227" spans="1:10" x14ac:dyDescent="0.25">
      <c r="A227"/>
      <c r="B227"/>
      <c r="C227" s="109"/>
      <c r="D227" s="109"/>
      <c r="E227" s="109"/>
      <c r="H227" s="109"/>
      <c r="I227" s="109"/>
      <c r="J227" s="109"/>
    </row>
    <row r="228" spans="1:10" x14ac:dyDescent="0.25">
      <c r="A228"/>
      <c r="B228"/>
      <c r="C228" s="109"/>
      <c r="D228" s="109"/>
      <c r="E228" s="109"/>
      <c r="H228" s="109"/>
      <c r="I228" s="109"/>
      <c r="J228" s="109"/>
    </row>
    <row r="229" spans="1:10" x14ac:dyDescent="0.25">
      <c r="A229"/>
      <c r="B229"/>
      <c r="C229" s="109"/>
      <c r="D229" s="109"/>
      <c r="E229" s="109"/>
      <c r="H229" s="109"/>
      <c r="I229" s="109"/>
      <c r="J229" s="109"/>
    </row>
    <row r="230" spans="1:10" x14ac:dyDescent="0.25">
      <c r="A230"/>
      <c r="B230"/>
      <c r="C230" s="109"/>
      <c r="D230" s="109"/>
      <c r="E230" s="109"/>
      <c r="H230" s="109"/>
      <c r="I230" s="109"/>
      <c r="J230" s="109"/>
    </row>
    <row r="231" spans="1:10" x14ac:dyDescent="0.25">
      <c r="A231"/>
      <c r="B231"/>
      <c r="C231" s="109"/>
      <c r="D231" s="109"/>
      <c r="E231" s="109"/>
      <c r="H231" s="109"/>
      <c r="I231" s="109"/>
      <c r="J231" s="109"/>
    </row>
    <row r="232" spans="1:10" x14ac:dyDescent="0.25">
      <c r="A232"/>
      <c r="B232"/>
      <c r="C232" s="109"/>
      <c r="D232" s="109"/>
      <c r="E232" s="109"/>
      <c r="H232" s="109"/>
      <c r="I232" s="109"/>
      <c r="J232" s="109"/>
    </row>
    <row r="233" spans="1:10" x14ac:dyDescent="0.25">
      <c r="A233"/>
      <c r="B233"/>
      <c r="C233" s="109"/>
      <c r="D233" s="109"/>
      <c r="E233" s="109"/>
      <c r="H233" s="109"/>
      <c r="I233" s="109"/>
      <c r="J233" s="109"/>
    </row>
    <row r="234" spans="1:10" x14ac:dyDescent="0.25">
      <c r="A234"/>
      <c r="B234"/>
      <c r="C234" s="109"/>
      <c r="D234" s="109"/>
      <c r="E234" s="109"/>
      <c r="H234" s="109"/>
      <c r="I234" s="109"/>
      <c r="J234" s="109"/>
    </row>
    <row r="235" spans="1:10" x14ac:dyDescent="0.25">
      <c r="A235"/>
      <c r="B235"/>
      <c r="C235" s="109"/>
      <c r="D235" s="109"/>
      <c r="E235" s="109"/>
      <c r="H235" s="109"/>
      <c r="I235" s="109"/>
      <c r="J235" s="109"/>
    </row>
    <row r="236" spans="1:10" x14ac:dyDescent="0.25">
      <c r="A236"/>
      <c r="B236"/>
      <c r="C236" s="109"/>
      <c r="D236" s="109"/>
      <c r="E236" s="109"/>
      <c r="H236" s="109"/>
      <c r="I236" s="109"/>
      <c r="J236" s="109"/>
    </row>
    <row r="237" spans="1:10" x14ac:dyDescent="0.25">
      <c r="A237"/>
      <c r="B237"/>
      <c r="C237" s="109"/>
      <c r="D237" s="109"/>
      <c r="E237" s="109"/>
      <c r="H237" s="109"/>
      <c r="I237" s="109"/>
      <c r="J237" s="109"/>
    </row>
    <row r="238" spans="1:10" x14ac:dyDescent="0.25">
      <c r="A238"/>
      <c r="B238"/>
      <c r="C238" s="109"/>
      <c r="D238" s="109"/>
      <c r="E238" s="109"/>
      <c r="H238" s="109"/>
      <c r="I238" s="109"/>
      <c r="J238" s="109"/>
    </row>
    <row r="239" spans="1:10" x14ac:dyDescent="0.25">
      <c r="A239"/>
      <c r="B239"/>
      <c r="C239" s="109"/>
      <c r="D239" s="109"/>
      <c r="E239" s="109"/>
      <c r="H239" s="109"/>
      <c r="I239" s="109"/>
      <c r="J239" s="109"/>
    </row>
    <row r="240" spans="1:10" x14ac:dyDescent="0.25">
      <c r="A240"/>
      <c r="B240"/>
      <c r="C240" s="109"/>
      <c r="D240" s="109"/>
      <c r="E240" s="109"/>
      <c r="H240" s="109"/>
      <c r="I240" s="109"/>
      <c r="J240" s="109"/>
    </row>
    <row r="241" spans="1:10" x14ac:dyDescent="0.25">
      <c r="A241"/>
      <c r="B241"/>
      <c r="C241" s="109"/>
      <c r="D241" s="109"/>
      <c r="E241" s="109"/>
      <c r="H241" s="109"/>
      <c r="I241" s="109"/>
      <c r="J241" s="109"/>
    </row>
    <row r="242" spans="1:10" x14ac:dyDescent="0.25">
      <c r="A242"/>
      <c r="B242"/>
      <c r="C242" s="109"/>
      <c r="D242" s="109"/>
      <c r="E242" s="109"/>
      <c r="H242" s="109"/>
      <c r="I242" s="109"/>
      <c r="J242" s="109"/>
    </row>
    <row r="243" spans="1:10" x14ac:dyDescent="0.25">
      <c r="A243"/>
      <c r="B243"/>
      <c r="C243" s="109"/>
      <c r="D243" s="109"/>
      <c r="E243" s="109"/>
      <c r="H243" s="109"/>
      <c r="I243" s="109"/>
      <c r="J243" s="109"/>
    </row>
    <row r="244" spans="1:10" x14ac:dyDescent="0.25">
      <c r="A244"/>
      <c r="B244"/>
      <c r="C244" s="109"/>
      <c r="D244" s="109"/>
      <c r="E244" s="109"/>
      <c r="H244" s="109"/>
      <c r="I244" s="109"/>
      <c r="J244" s="109"/>
    </row>
    <row r="245" spans="1:10" x14ac:dyDescent="0.25">
      <c r="A245"/>
      <c r="B245"/>
      <c r="C245" s="109"/>
      <c r="D245" s="109"/>
      <c r="E245" s="109"/>
      <c r="H245" s="109"/>
      <c r="I245" s="109"/>
      <c r="J245" s="109"/>
    </row>
    <row r="246" spans="1:10" x14ac:dyDescent="0.25">
      <c r="A246"/>
      <c r="B246"/>
      <c r="C246" s="109"/>
      <c r="D246" s="109"/>
      <c r="E246" s="109"/>
      <c r="H246" s="109"/>
      <c r="I246" s="109"/>
      <c r="J246" s="109"/>
    </row>
    <row r="247" spans="1:10" x14ac:dyDescent="0.25">
      <c r="A247"/>
      <c r="B247"/>
      <c r="C247" s="109"/>
      <c r="D247" s="109"/>
      <c r="E247" s="109"/>
      <c r="H247" s="109"/>
      <c r="I247" s="109"/>
      <c r="J247" s="109"/>
    </row>
    <row r="248" spans="1:10" x14ac:dyDescent="0.25">
      <c r="A248"/>
      <c r="B248"/>
      <c r="C248" s="109"/>
      <c r="D248" s="109"/>
      <c r="E248" s="109"/>
      <c r="H248" s="109"/>
      <c r="I248" s="109"/>
      <c r="J248" s="109"/>
    </row>
    <row r="249" spans="1:10" x14ac:dyDescent="0.25">
      <c r="A249"/>
      <c r="B249"/>
      <c r="C249" s="109"/>
      <c r="D249" s="109"/>
      <c r="E249" s="109"/>
      <c r="H249" s="109"/>
      <c r="I249" s="109"/>
      <c r="J249" s="109"/>
    </row>
    <row r="250" spans="1:10" x14ac:dyDescent="0.25">
      <c r="A250"/>
      <c r="B250"/>
      <c r="C250" s="109"/>
      <c r="D250" s="109"/>
      <c r="E250" s="109"/>
      <c r="H250" s="109"/>
      <c r="I250" s="109"/>
      <c r="J250" s="109"/>
    </row>
    <row r="251" spans="1:10" x14ac:dyDescent="0.25">
      <c r="A251"/>
      <c r="B251"/>
      <c r="C251" s="109"/>
      <c r="D251" s="109"/>
      <c r="E251" s="109"/>
      <c r="H251" s="109"/>
      <c r="I251" s="109"/>
      <c r="J251" s="109"/>
    </row>
    <row r="252" spans="1:10" x14ac:dyDescent="0.25">
      <c r="A252"/>
      <c r="B252"/>
      <c r="C252" s="109"/>
      <c r="D252" s="109"/>
      <c r="E252" s="109"/>
      <c r="H252" s="109"/>
      <c r="I252" s="109"/>
      <c r="J252" s="109"/>
    </row>
    <row r="253" spans="1:10" x14ac:dyDescent="0.25">
      <c r="A253"/>
      <c r="B253"/>
      <c r="C253" s="109"/>
      <c r="D253" s="109"/>
      <c r="E253" s="109"/>
      <c r="H253" s="109"/>
      <c r="I253" s="109"/>
      <c r="J253" s="109"/>
    </row>
    <row r="254" spans="1:10" x14ac:dyDescent="0.25">
      <c r="A254"/>
      <c r="B254"/>
      <c r="C254" s="109"/>
      <c r="D254" s="109"/>
      <c r="E254" s="109"/>
      <c r="H254" s="109"/>
      <c r="I254" s="109"/>
      <c r="J254" s="109"/>
    </row>
    <row r="255" spans="1:10" x14ac:dyDescent="0.25">
      <c r="A255"/>
      <c r="B255"/>
      <c r="C255" s="109"/>
      <c r="D255" s="109"/>
      <c r="E255" s="109"/>
      <c r="H255" s="109"/>
      <c r="I255" s="109"/>
      <c r="J255" s="109"/>
    </row>
    <row r="256" spans="1:10" x14ac:dyDescent="0.25">
      <c r="A256"/>
      <c r="B256"/>
      <c r="C256" s="109"/>
      <c r="D256" s="109"/>
      <c r="E256" s="109"/>
      <c r="H256" s="109"/>
      <c r="I256" s="109"/>
      <c r="J256" s="109"/>
    </row>
    <row r="257" spans="1:10" x14ac:dyDescent="0.25">
      <c r="A257"/>
      <c r="B257"/>
      <c r="C257" s="109"/>
      <c r="D257" s="109"/>
      <c r="E257" s="109"/>
      <c r="H257" s="109"/>
      <c r="I257" s="109"/>
      <c r="J257" s="109"/>
    </row>
    <row r="258" spans="1:10" x14ac:dyDescent="0.25">
      <c r="A258"/>
      <c r="B258"/>
      <c r="C258" s="109"/>
      <c r="D258" s="109"/>
      <c r="E258" s="109"/>
      <c r="H258" s="109"/>
      <c r="I258" s="109"/>
      <c r="J258" s="109"/>
    </row>
    <row r="259" spans="1:10" x14ac:dyDescent="0.25">
      <c r="A259"/>
      <c r="B259"/>
      <c r="C259" s="109"/>
      <c r="D259" s="109"/>
      <c r="E259" s="109"/>
      <c r="H259" s="109"/>
      <c r="I259" s="109"/>
      <c r="J259" s="109"/>
    </row>
    <row r="260" spans="1:10" x14ac:dyDescent="0.25">
      <c r="A260"/>
      <c r="B260"/>
      <c r="C260" s="109"/>
      <c r="D260" s="109"/>
      <c r="E260" s="109"/>
      <c r="H260" s="109"/>
      <c r="I260" s="109"/>
      <c r="J260" s="109"/>
    </row>
    <row r="261" spans="1:10" x14ac:dyDescent="0.25">
      <c r="A261"/>
      <c r="B261"/>
      <c r="C261" s="109"/>
      <c r="D261" s="109"/>
      <c r="E261" s="109"/>
      <c r="H261" s="109"/>
      <c r="I261" s="109"/>
      <c r="J261" s="109"/>
    </row>
    <row r="262" spans="1:10" x14ac:dyDescent="0.25">
      <c r="A262"/>
      <c r="B262"/>
      <c r="C262" s="109"/>
      <c r="D262" s="109"/>
      <c r="E262" s="109"/>
      <c r="H262" s="109"/>
      <c r="I262" s="109"/>
      <c r="J262" s="109"/>
    </row>
    <row r="263" spans="1:10" x14ac:dyDescent="0.25">
      <c r="A263"/>
      <c r="B263"/>
      <c r="C263" s="109"/>
      <c r="D263" s="109"/>
      <c r="E263" s="109"/>
      <c r="H263" s="109"/>
      <c r="I263" s="109"/>
      <c r="J263" s="109"/>
    </row>
    <row r="264" spans="1:10" x14ac:dyDescent="0.25">
      <c r="A264"/>
      <c r="B264"/>
      <c r="C264" s="109"/>
      <c r="D264" s="109"/>
      <c r="E264" s="109"/>
      <c r="H264" s="109"/>
      <c r="I264" s="109"/>
      <c r="J264" s="109"/>
    </row>
    <row r="265" spans="1:10" x14ac:dyDescent="0.25">
      <c r="A265"/>
      <c r="B265"/>
      <c r="C265" s="109"/>
      <c r="D265" s="109"/>
      <c r="E265" s="109"/>
      <c r="H265" s="109"/>
      <c r="I265" s="109"/>
      <c r="J265" s="109"/>
    </row>
    <row r="266" spans="1:10" x14ac:dyDescent="0.25">
      <c r="A266"/>
      <c r="B266"/>
      <c r="C266" s="109"/>
      <c r="D266" s="109"/>
      <c r="E266" s="109"/>
      <c r="H266" s="109"/>
      <c r="I266" s="109"/>
      <c r="J266" s="109"/>
    </row>
    <row r="267" spans="1:10" x14ac:dyDescent="0.25">
      <c r="A267"/>
      <c r="B267"/>
      <c r="C267" s="109"/>
      <c r="D267" s="109"/>
      <c r="E267" s="109"/>
      <c r="H267" s="109"/>
      <c r="I267" s="109"/>
      <c r="J267" s="109"/>
    </row>
    <row r="268" spans="1:10" x14ac:dyDescent="0.25">
      <c r="A268"/>
      <c r="B268"/>
      <c r="C268" s="109"/>
      <c r="D268" s="109"/>
      <c r="E268" s="109"/>
      <c r="H268" s="109"/>
      <c r="I268" s="109"/>
      <c r="J268" s="109"/>
    </row>
    <row r="269" spans="1:10" x14ac:dyDescent="0.25">
      <c r="A269"/>
      <c r="B269"/>
      <c r="C269" s="109"/>
      <c r="D269" s="109"/>
      <c r="E269" s="109"/>
      <c r="H269" s="109"/>
      <c r="I269" s="109"/>
      <c r="J269" s="109"/>
    </row>
    <row r="270" spans="1:10" x14ac:dyDescent="0.25">
      <c r="A270"/>
      <c r="B270"/>
      <c r="C270" s="109"/>
      <c r="D270" s="109"/>
      <c r="E270" s="109"/>
      <c r="H270" s="109"/>
      <c r="I270" s="109"/>
      <c r="J270" s="109"/>
    </row>
    <row r="271" spans="1:10" x14ac:dyDescent="0.25">
      <c r="A271"/>
      <c r="B271"/>
      <c r="C271" s="109"/>
      <c r="D271" s="109"/>
      <c r="E271" s="109"/>
      <c r="H271" s="109"/>
      <c r="I271" s="109"/>
      <c r="J271" s="109"/>
    </row>
    <row r="272" spans="1:10" x14ac:dyDescent="0.25">
      <c r="A272"/>
      <c r="B272"/>
      <c r="C272" s="109"/>
      <c r="D272" s="109"/>
      <c r="E272" s="109"/>
      <c r="H272" s="109"/>
      <c r="I272" s="109"/>
      <c r="J272" s="109"/>
    </row>
    <row r="273" spans="1:10" x14ac:dyDescent="0.25">
      <c r="A273"/>
      <c r="B273"/>
      <c r="C273" s="109"/>
      <c r="D273" s="109"/>
      <c r="E273" s="109"/>
      <c r="H273" s="109"/>
      <c r="I273" s="109"/>
      <c r="J273" s="109"/>
    </row>
    <row r="274" spans="1:10" x14ac:dyDescent="0.25">
      <c r="A274"/>
      <c r="B274"/>
      <c r="C274" s="109"/>
      <c r="D274" s="109"/>
      <c r="E274" s="109"/>
      <c r="H274" s="109"/>
      <c r="I274" s="109"/>
      <c r="J274" s="109"/>
    </row>
    <row r="275" spans="1:10" x14ac:dyDescent="0.25">
      <c r="A275"/>
      <c r="B275"/>
      <c r="C275" s="109"/>
      <c r="D275" s="109"/>
      <c r="E275" s="109"/>
      <c r="H275" s="109"/>
      <c r="I275" s="109"/>
      <c r="J275" s="109"/>
    </row>
    <row r="276" spans="1:10" x14ac:dyDescent="0.25">
      <c r="A276"/>
      <c r="B276"/>
      <c r="C276" s="109"/>
      <c r="D276" s="109"/>
      <c r="E276" s="109"/>
      <c r="H276" s="109"/>
      <c r="I276" s="109"/>
      <c r="J276" s="109"/>
    </row>
    <row r="277" spans="1:10" x14ac:dyDescent="0.25">
      <c r="A277"/>
      <c r="B277"/>
      <c r="C277" s="109"/>
      <c r="D277" s="109"/>
      <c r="E277" s="109"/>
      <c r="H277" s="109"/>
      <c r="I277" s="109"/>
      <c r="J277" s="109"/>
    </row>
    <row r="278" spans="1:10" x14ac:dyDescent="0.25">
      <c r="A278"/>
      <c r="B278"/>
      <c r="C278" s="109"/>
      <c r="D278" s="109"/>
      <c r="E278" s="109"/>
      <c r="H278" s="109"/>
      <c r="I278" s="109"/>
      <c r="J278" s="109"/>
    </row>
    <row r="279" spans="1:10" x14ac:dyDescent="0.25">
      <c r="A279"/>
      <c r="B279"/>
      <c r="C279" s="109"/>
      <c r="D279" s="109"/>
      <c r="E279" s="109"/>
      <c r="H279" s="109"/>
      <c r="I279" s="109"/>
      <c r="J279" s="109"/>
    </row>
    <row r="280" spans="1:10" x14ac:dyDescent="0.25">
      <c r="A280"/>
      <c r="B280"/>
      <c r="C280" s="109"/>
      <c r="D280" s="109"/>
      <c r="E280" s="109"/>
      <c r="H280" s="109"/>
      <c r="I280" s="109"/>
      <c r="J280" s="109"/>
    </row>
    <row r="281" spans="1:10" x14ac:dyDescent="0.25">
      <c r="A281"/>
      <c r="B281"/>
      <c r="C281" s="109"/>
      <c r="D281" s="109"/>
      <c r="E281" s="109"/>
      <c r="H281" s="109"/>
      <c r="I281" s="109"/>
      <c r="J281" s="109"/>
    </row>
    <row r="282" spans="1:10" x14ac:dyDescent="0.25">
      <c r="A282"/>
      <c r="B282"/>
      <c r="C282" s="109"/>
      <c r="D282" s="109"/>
      <c r="E282" s="109"/>
      <c r="H282" s="109"/>
      <c r="I282" s="109"/>
      <c r="J282" s="109"/>
    </row>
    <row r="283" spans="1:10" x14ac:dyDescent="0.25">
      <c r="A283"/>
      <c r="B283"/>
      <c r="C283" s="109"/>
      <c r="D283" s="109"/>
      <c r="E283" s="109"/>
      <c r="H283" s="109"/>
      <c r="I283" s="109"/>
      <c r="J283" s="109"/>
    </row>
    <row r="284" spans="1:10" x14ac:dyDescent="0.25">
      <c r="A284"/>
      <c r="B284"/>
      <c r="C284" s="109"/>
      <c r="D284" s="109"/>
      <c r="E284" s="109"/>
      <c r="H284" s="109"/>
      <c r="I284" s="109"/>
      <c r="J284" s="109"/>
    </row>
    <row r="285" spans="1:10" x14ac:dyDescent="0.25">
      <c r="A285"/>
      <c r="B285"/>
      <c r="C285" s="109"/>
      <c r="D285" s="109"/>
      <c r="E285" s="109"/>
      <c r="H285" s="109"/>
      <c r="I285" s="109"/>
      <c r="J285" s="109"/>
    </row>
    <row r="286" spans="1:10" x14ac:dyDescent="0.25">
      <c r="A286"/>
      <c r="B286"/>
      <c r="C286" s="109"/>
      <c r="D286" s="109"/>
      <c r="E286" s="109"/>
      <c r="H286" s="109"/>
      <c r="I286" s="109"/>
      <c r="J286" s="109"/>
    </row>
    <row r="287" spans="1:10" x14ac:dyDescent="0.25">
      <c r="A287"/>
      <c r="B287"/>
      <c r="C287" s="109"/>
      <c r="D287" s="109"/>
      <c r="E287" s="109"/>
      <c r="H287" s="109"/>
      <c r="I287" s="109"/>
      <c r="J287" s="109"/>
    </row>
    <row r="288" spans="1:10" x14ac:dyDescent="0.25">
      <c r="A288"/>
      <c r="B288"/>
      <c r="C288" s="109"/>
      <c r="D288" s="109"/>
      <c r="E288" s="109"/>
      <c r="H288" s="109"/>
      <c r="I288" s="109"/>
      <c r="J288" s="109"/>
    </row>
    <row r="289" spans="1:10" x14ac:dyDescent="0.25">
      <c r="A289"/>
      <c r="B289"/>
      <c r="C289" s="109"/>
      <c r="D289" s="109"/>
      <c r="E289" s="109"/>
      <c r="H289" s="109"/>
      <c r="I289" s="109"/>
      <c r="J289" s="109"/>
    </row>
    <row r="290" spans="1:10" x14ac:dyDescent="0.25">
      <c r="A290"/>
      <c r="B290"/>
      <c r="C290" s="109"/>
      <c r="D290" s="109"/>
      <c r="E290" s="109"/>
      <c r="H290" s="109"/>
      <c r="I290" s="109"/>
      <c r="J290" s="109"/>
    </row>
    <row r="291" spans="1:10" x14ac:dyDescent="0.25">
      <c r="A291"/>
      <c r="B291"/>
      <c r="C291" s="109"/>
      <c r="D291" s="109"/>
      <c r="E291" s="109"/>
      <c r="H291" s="109"/>
      <c r="I291" s="109"/>
      <c r="J291" s="109"/>
    </row>
    <row r="292" spans="1:10" x14ac:dyDescent="0.25">
      <c r="A292"/>
      <c r="B292"/>
      <c r="C292" s="109"/>
      <c r="D292" s="109"/>
      <c r="E292" s="109"/>
      <c r="H292" s="109"/>
      <c r="I292" s="109"/>
      <c r="J292" s="109"/>
    </row>
    <row r="293" spans="1:10" x14ac:dyDescent="0.25">
      <c r="A293"/>
      <c r="B293"/>
      <c r="C293" s="109"/>
      <c r="D293" s="109"/>
      <c r="E293" s="109"/>
      <c r="H293" s="109"/>
      <c r="I293" s="109"/>
      <c r="J293" s="109"/>
    </row>
    <row r="294" spans="1:10" x14ac:dyDescent="0.25">
      <c r="A294"/>
      <c r="B294"/>
      <c r="C294" s="109"/>
      <c r="D294" s="109"/>
      <c r="E294" s="109"/>
      <c r="H294" s="109"/>
      <c r="I294" s="109"/>
      <c r="J294" s="109"/>
    </row>
    <row r="295" spans="1:10" x14ac:dyDescent="0.25">
      <c r="A295"/>
      <c r="B295"/>
      <c r="C295" s="109"/>
      <c r="D295" s="109"/>
      <c r="E295" s="109"/>
      <c r="H295" s="109"/>
      <c r="I295" s="109"/>
      <c r="J295" s="109"/>
    </row>
    <row r="296" spans="1:10" x14ac:dyDescent="0.25">
      <c r="A296"/>
      <c r="B296"/>
      <c r="C296" s="109"/>
      <c r="D296" s="109"/>
      <c r="E296" s="109"/>
      <c r="H296" s="109"/>
      <c r="I296" s="109"/>
      <c r="J296" s="109"/>
    </row>
    <row r="297" spans="1:10" x14ac:dyDescent="0.25">
      <c r="A297"/>
      <c r="B297"/>
      <c r="C297" s="109"/>
      <c r="D297" s="109"/>
      <c r="E297" s="109"/>
      <c r="H297" s="109"/>
      <c r="I297" s="109"/>
      <c r="J297" s="109"/>
    </row>
    <row r="298" spans="1:10" x14ac:dyDescent="0.25">
      <c r="A298"/>
      <c r="B298"/>
      <c r="C298" s="109"/>
      <c r="D298" s="109"/>
      <c r="E298" s="109"/>
      <c r="H298" s="109"/>
      <c r="I298" s="109"/>
      <c r="J298" s="109"/>
    </row>
    <row r="299" spans="1:10" x14ac:dyDescent="0.25">
      <c r="A299"/>
      <c r="B299"/>
      <c r="C299" s="109"/>
      <c r="D299" s="109"/>
      <c r="E299" s="109"/>
      <c r="H299" s="109"/>
      <c r="I299" s="109"/>
      <c r="J299" s="109"/>
    </row>
    <row r="300" spans="1:10" x14ac:dyDescent="0.25">
      <c r="A300"/>
      <c r="B300"/>
      <c r="C300" s="109"/>
      <c r="D300" s="109"/>
      <c r="E300" s="109"/>
      <c r="H300" s="109"/>
      <c r="I300" s="109"/>
      <c r="J300" s="109"/>
    </row>
    <row r="301" spans="1:10" x14ac:dyDescent="0.25">
      <c r="A301"/>
      <c r="B301"/>
      <c r="C301" s="109"/>
      <c r="D301" s="109"/>
      <c r="E301" s="109"/>
      <c r="H301" s="109"/>
      <c r="I301" s="109"/>
      <c r="J301" s="109"/>
    </row>
    <row r="302" spans="1:10" x14ac:dyDescent="0.25">
      <c r="A302"/>
      <c r="B302"/>
      <c r="C302" s="109"/>
      <c r="D302" s="109"/>
      <c r="E302" s="109"/>
      <c r="H302" s="109"/>
      <c r="I302" s="109"/>
      <c r="J302" s="109"/>
    </row>
    <row r="303" spans="1:10" x14ac:dyDescent="0.25">
      <c r="A303"/>
      <c r="B303"/>
      <c r="C303" s="109"/>
      <c r="D303" s="109"/>
      <c r="E303" s="109"/>
      <c r="H303" s="109"/>
      <c r="I303" s="109"/>
      <c r="J303" s="109"/>
    </row>
    <row r="304" spans="1:10" x14ac:dyDescent="0.25">
      <c r="A304"/>
      <c r="B304"/>
      <c r="C304" s="109"/>
      <c r="D304" s="109"/>
      <c r="E304" s="109"/>
      <c r="H304" s="109"/>
      <c r="I304" s="109"/>
      <c r="J304" s="109"/>
    </row>
    <row r="305" spans="1:10" x14ac:dyDescent="0.25">
      <c r="A305"/>
      <c r="B305"/>
      <c r="C305" s="109"/>
      <c r="D305" s="109"/>
      <c r="E305" s="109"/>
      <c r="H305" s="109"/>
      <c r="I305" s="109"/>
      <c r="J305" s="109"/>
    </row>
    <row r="306" spans="1:10" x14ac:dyDescent="0.25">
      <c r="A306"/>
      <c r="B306"/>
      <c r="C306" s="109"/>
      <c r="D306" s="109"/>
      <c r="E306" s="109"/>
      <c r="H306" s="109"/>
      <c r="I306" s="109"/>
      <c r="J306" s="109"/>
    </row>
    <row r="307" spans="1:10" x14ac:dyDescent="0.25">
      <c r="A307"/>
      <c r="B307"/>
      <c r="C307" s="109"/>
      <c r="D307" s="109"/>
      <c r="E307" s="109"/>
      <c r="H307" s="109"/>
      <c r="I307" s="109"/>
      <c r="J307" s="109"/>
    </row>
    <row r="308" spans="1:10" x14ac:dyDescent="0.25">
      <c r="A308"/>
      <c r="B308"/>
      <c r="C308" s="109"/>
      <c r="D308" s="109"/>
      <c r="E308" s="109"/>
      <c r="H308" s="109"/>
      <c r="I308" s="109"/>
      <c r="J308" s="109"/>
    </row>
    <row r="309" spans="1:10" x14ac:dyDescent="0.25">
      <c r="A309"/>
      <c r="B309"/>
      <c r="C309" s="109"/>
      <c r="D309" s="109"/>
      <c r="E309" s="109"/>
      <c r="H309" s="109"/>
      <c r="I309" s="109"/>
      <c r="J309" s="109"/>
    </row>
    <row r="310" spans="1:10" x14ac:dyDescent="0.25">
      <c r="A310"/>
      <c r="B310"/>
      <c r="C310" s="109"/>
      <c r="D310" s="109"/>
      <c r="E310" s="109"/>
      <c r="H310" s="109"/>
      <c r="I310" s="109"/>
      <c r="J310" s="109"/>
    </row>
    <row r="311" spans="1:10" x14ac:dyDescent="0.25">
      <c r="A311"/>
      <c r="B311"/>
      <c r="C311" s="109"/>
      <c r="D311" s="109"/>
      <c r="E311" s="109"/>
      <c r="H311" s="109"/>
      <c r="I311" s="109"/>
      <c r="J311" s="109"/>
    </row>
    <row r="312" spans="1:10" x14ac:dyDescent="0.25">
      <c r="A312"/>
      <c r="B312"/>
      <c r="C312" s="109"/>
      <c r="D312" s="109"/>
      <c r="E312" s="109"/>
      <c r="H312" s="109"/>
      <c r="I312" s="109"/>
      <c r="J312" s="109"/>
    </row>
  </sheetData>
  <mergeCells count="14">
    <mergeCell ref="A19:G19"/>
    <mergeCell ref="A26:J27"/>
    <mergeCell ref="A5:B5"/>
    <mergeCell ref="D5:E5"/>
    <mergeCell ref="G5:H5"/>
    <mergeCell ref="I5:J5"/>
    <mergeCell ref="A7:J8"/>
    <mergeCell ref="A10:G10"/>
    <mergeCell ref="A1:J1"/>
    <mergeCell ref="A2:J2"/>
    <mergeCell ref="A4:B4"/>
    <mergeCell ref="D4:E4"/>
    <mergeCell ref="G4:H4"/>
    <mergeCell ref="I4:J4"/>
  </mergeCells>
  <conditionalFormatting sqref="A147:E178">
    <cfRule type="expression" dxfId="13" priority="6">
      <formula>$A147="Vendor"</formula>
    </cfRule>
    <cfRule type="expression" dxfId="12" priority="7">
      <formula>$A147="Upcoming consumption vendors"</formula>
    </cfRule>
  </conditionalFormatting>
  <conditionalFormatting sqref="A180:E197">
    <cfRule type="expression" dxfId="11" priority="12">
      <formula>$A180="Upcoming new spend vendors"</formula>
    </cfRule>
  </conditionalFormatting>
  <conditionalFormatting sqref="A180:E312">
    <cfRule type="expression" dxfId="10" priority="11">
      <formula>$A180="Vendor"</formula>
    </cfRule>
  </conditionalFormatting>
  <conditionalFormatting sqref="A198:E312">
    <cfRule type="expression" dxfId="9" priority="14">
      <formula>$A198="Upcoming Microsoft vendors"</formula>
    </cfRule>
  </conditionalFormatting>
  <conditionalFormatting sqref="A31:F145">
    <cfRule type="expression" dxfId="8" priority="1">
      <formula>$A31="Vendor"</formula>
    </cfRule>
    <cfRule type="expression" dxfId="7" priority="2">
      <formula>$A31="Upcoming licensing vendors"</formula>
    </cfRule>
  </conditionalFormatting>
  <conditionalFormatting sqref="E147:E178 E198:E312">
    <cfRule type="cellIs" dxfId="6" priority="10" operator="lessThan">
      <formula>0</formula>
    </cfRule>
  </conditionalFormatting>
  <conditionalFormatting sqref="E180:E197">
    <cfRule type="cellIs" dxfId="5" priority="13" operator="lessThan">
      <formula>0</formula>
    </cfRule>
  </conditionalFormatting>
  <conditionalFormatting sqref="F31:F145">
    <cfRule type="cellIs" dxfId="4" priority="3" operator="lessThan">
      <formula>0</formula>
    </cfRule>
  </conditionalFormatting>
  <conditionalFormatting sqref="G31:J145">
    <cfRule type="expression" dxfId="3" priority="4">
      <formula>OR($G31="Committed summary",$G31="Licensing summary")</formula>
    </cfRule>
    <cfRule type="expression" dxfId="2" priority="5">
      <formula>OR(IFERROR(ISNUMBER(SEARCH("committed items",$G31)),FALSE),IFERROR(ISNUMBER(SEARCH("uncommitted items",$G31)),FALSE))</formula>
    </cfRule>
  </conditionalFormatting>
  <conditionalFormatting sqref="G147:J178 G180:J312">
    <cfRule type="expression" dxfId="1" priority="8">
      <formula>OR($G147="Committed summary",$G147="Upcoming summary")</formula>
    </cfRule>
    <cfRule type="expression" dxfId="0" priority="9">
      <formula>OR(IFERROR(ISNUMBER(SEARCH("committed items",$G147)),FALSE),IFERROR(ISNUMBER(SEARCH("uncommitted items",$G147)),FALSE))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B161-B165-4340-BB0A-FFF3BEDAB732}">
  <sheetPr>
    <tabColor theme="3" tint="0.499984740745262"/>
  </sheetPr>
  <dimension ref="A1:M312"/>
  <sheetViews>
    <sheetView workbookViewId="0">
      <selection activeCell="G28" sqref="G28"/>
    </sheetView>
    <sheetView tabSelected="1" workbookViewId="1">
      <selection sqref="A1:J1"/>
    </sheetView>
  </sheetViews>
  <sheetFormatPr defaultRowHeight="15" x14ac:dyDescent="0.25"/>
  <cols>
    <col min="1" max="1" width="26.7109375" style="11" customWidth="1"/>
    <col min="2" max="2" width="34.28515625" style="11" customWidth="1"/>
    <col min="3" max="5" width="15.28515625" customWidth="1"/>
    <col min="6" max="6" width="16.140625" customWidth="1"/>
    <col min="7" max="7" width="21" customWidth="1"/>
    <col min="8" max="8" width="13.85546875" style="3" bestFit="1" customWidth="1"/>
    <col min="9" max="9" width="46.140625" style="3" customWidth="1"/>
    <col min="10" max="10" width="13.28515625" style="3" customWidth="1"/>
    <col min="11" max="11" width="14.28515625" bestFit="1" customWidth="1"/>
    <col min="12" max="12" width="20.7109375" style="3" bestFit="1" customWidth="1"/>
    <col min="13" max="13" width="20.7109375" style="3" customWidth="1"/>
    <col min="14" max="14" width="21.140625" customWidth="1"/>
    <col min="15" max="15" width="22.5703125" bestFit="1" customWidth="1"/>
    <col min="16" max="18" width="21.5703125" customWidth="1"/>
    <col min="19" max="19" width="19.42578125" bestFit="1" customWidth="1"/>
    <col min="20" max="20" width="17.5703125" bestFit="1" customWidth="1"/>
  </cols>
  <sheetData>
    <row r="1" spans="1:13" ht="32.1" customHeight="1" x14ac:dyDescent="0.25">
      <c r="A1" s="141" t="s">
        <v>564</v>
      </c>
      <c r="B1" s="141"/>
      <c r="C1" s="141"/>
      <c r="D1" s="141"/>
      <c r="E1" s="141"/>
      <c r="F1" s="141"/>
      <c r="G1" s="141"/>
      <c r="H1" s="141"/>
      <c r="I1" s="141"/>
      <c r="J1" s="141"/>
      <c r="L1"/>
      <c r="M1"/>
    </row>
    <row r="2" spans="1:13" ht="20.100000000000001" customHeight="1" x14ac:dyDescent="0.25">
      <c r="A2" s="142" t="s">
        <v>565</v>
      </c>
      <c r="B2" s="142"/>
      <c r="C2" s="142"/>
      <c r="D2" s="142"/>
      <c r="E2" s="142"/>
      <c r="F2" s="142"/>
      <c r="G2" s="142"/>
      <c r="H2" s="142"/>
      <c r="I2" s="142"/>
      <c r="J2" s="142"/>
      <c r="L2"/>
      <c r="M2"/>
    </row>
    <row r="3" spans="1:13" ht="8.1" customHeight="1" x14ac:dyDescent="0.25">
      <c r="A3"/>
      <c r="B3"/>
      <c r="H3"/>
      <c r="I3"/>
      <c r="J3"/>
      <c r="L3"/>
      <c r="M3"/>
    </row>
    <row r="4" spans="1:13" x14ac:dyDescent="0.25">
      <c r="A4" s="143" t="s">
        <v>574</v>
      </c>
      <c r="B4" s="143"/>
      <c r="C4" s="7"/>
      <c r="D4" s="143" t="s">
        <v>575</v>
      </c>
      <c r="E4" s="143"/>
      <c r="F4" s="7"/>
      <c r="G4" s="143" t="s">
        <v>576</v>
      </c>
      <c r="H4" s="143"/>
      <c r="I4" s="143" t="s">
        <v>577</v>
      </c>
      <c r="J4" s="143"/>
      <c r="L4"/>
      <c r="M4"/>
    </row>
    <row r="5" spans="1:13" ht="48" customHeight="1" x14ac:dyDescent="0.25">
      <c r="A5" s="139">
        <v>23692506.45761466</v>
      </c>
      <c r="B5" s="139"/>
      <c r="C5" s="117"/>
      <c r="D5" s="139">
        <v>22938225.959178083</v>
      </c>
      <c r="E5" s="139"/>
      <c r="F5" s="117"/>
      <c r="G5" s="139">
        <v>753724.71761466085</v>
      </c>
      <c r="H5" s="139"/>
      <c r="I5" s="139">
        <v>556024.67441914056</v>
      </c>
      <c r="J5" s="139"/>
      <c r="L5"/>
      <c r="M5"/>
    </row>
    <row r="6" spans="1:13" ht="8.1" customHeight="1" x14ac:dyDescent="0.25">
      <c r="A6"/>
      <c r="B6"/>
      <c r="H6"/>
      <c r="I6"/>
      <c r="J6"/>
      <c r="L6"/>
      <c r="M6"/>
    </row>
    <row r="7" spans="1:13" x14ac:dyDescent="0.25">
      <c r="A7" s="140" t="s">
        <v>837</v>
      </c>
      <c r="B7" s="140"/>
      <c r="C7" s="140"/>
      <c r="D7" s="140"/>
      <c r="E7" s="140"/>
      <c r="F7" s="140"/>
      <c r="G7" s="140"/>
      <c r="H7" s="140"/>
      <c r="I7" s="140"/>
      <c r="J7" s="140"/>
      <c r="L7"/>
      <c r="M7"/>
    </row>
    <row r="8" spans="1:13" x14ac:dyDescent="0.25">
      <c r="A8" s="140"/>
      <c r="B8" s="140"/>
      <c r="C8" s="140"/>
      <c r="D8" s="140"/>
      <c r="E8" s="140"/>
      <c r="F8" s="140"/>
      <c r="G8" s="140"/>
      <c r="H8" s="140"/>
      <c r="I8" s="140"/>
      <c r="J8" s="140"/>
      <c r="L8"/>
      <c r="M8"/>
    </row>
    <row r="9" spans="1:13" ht="15" customHeight="1" x14ac:dyDescent="0.25">
      <c r="A9"/>
      <c r="B9"/>
      <c r="H9"/>
      <c r="I9"/>
      <c r="J9"/>
      <c r="L9"/>
      <c r="M9"/>
    </row>
    <row r="10" spans="1:13" ht="15.75" x14ac:dyDescent="0.25">
      <c r="A10" s="137" t="s">
        <v>578</v>
      </c>
      <c r="B10" s="137"/>
      <c r="C10" s="137"/>
      <c r="D10" s="137"/>
      <c r="E10" s="137"/>
      <c r="F10" s="137"/>
      <c r="G10" s="137"/>
      <c r="H10"/>
      <c r="I10"/>
      <c r="J10"/>
      <c r="L10"/>
      <c r="M10"/>
    </row>
    <row r="11" spans="1:13" x14ac:dyDescent="0.25">
      <c r="A11" s="125" t="s">
        <v>566</v>
      </c>
      <c r="B11" s="125" t="s">
        <v>567</v>
      </c>
      <c r="C11" s="125" t="s">
        <v>568</v>
      </c>
      <c r="D11" s="125" t="s">
        <v>569</v>
      </c>
      <c r="E11" s="125" t="s">
        <v>570</v>
      </c>
      <c r="F11" s="125" t="s">
        <v>571</v>
      </c>
      <c r="G11" s="125" t="s">
        <v>13</v>
      </c>
      <c r="H11"/>
      <c r="I11"/>
      <c r="J11"/>
      <c r="L11"/>
      <c r="M11"/>
    </row>
    <row r="12" spans="1:13" x14ac:dyDescent="0.25">
      <c r="A12" s="126" t="s">
        <v>553</v>
      </c>
      <c r="B12" s="130">
        <v>844008.17277530488</v>
      </c>
      <c r="C12" s="130">
        <v>3477136.3066633623</v>
      </c>
      <c r="D12" s="130">
        <v>1175842.5</v>
      </c>
      <c r="E12" s="130">
        <v>1272025.9100000001</v>
      </c>
      <c r="F12" s="130">
        <v>16923493.56817599</v>
      </c>
      <c r="G12" s="130">
        <v>23692506.45761466</v>
      </c>
      <c r="H12"/>
      <c r="I12"/>
      <c r="J12"/>
      <c r="L12"/>
      <c r="M12"/>
    </row>
    <row r="13" spans="1:13" x14ac:dyDescent="0.25">
      <c r="A13" s="126" t="s">
        <v>579</v>
      </c>
      <c r="B13" s="130">
        <v>571403.04</v>
      </c>
      <c r="C13" s="130">
        <v>3372027.6699999995</v>
      </c>
      <c r="D13" s="130">
        <v>1172578.3591780823</v>
      </c>
      <c r="E13" s="130">
        <v>1264749.7300000002</v>
      </c>
      <c r="F13" s="130">
        <v>16557467.16</v>
      </c>
      <c r="G13" s="130">
        <v>22938225.959178083</v>
      </c>
      <c r="H13"/>
      <c r="I13"/>
      <c r="J13"/>
      <c r="L13"/>
      <c r="M13"/>
    </row>
    <row r="14" spans="1:13" x14ac:dyDescent="0.25">
      <c r="A14" s="124" t="s">
        <v>580</v>
      </c>
      <c r="B14" s="122">
        <v>272605.13277530496</v>
      </c>
      <c r="C14" s="122">
        <v>105108.63666336262</v>
      </c>
      <c r="D14" s="122">
        <v>2708.36</v>
      </c>
      <c r="E14" s="122">
        <v>7276.18</v>
      </c>
      <c r="F14" s="122">
        <v>366026.40817599325</v>
      </c>
      <c r="G14" s="122">
        <v>753724.71761466085</v>
      </c>
      <c r="H14"/>
      <c r="I14"/>
      <c r="J14"/>
      <c r="L14"/>
      <c r="M14"/>
    </row>
    <row r="15" spans="1:13" x14ac:dyDescent="0.25">
      <c r="A15" s="127" t="s">
        <v>581</v>
      </c>
      <c r="B15" s="119">
        <v>254862.68277530491</v>
      </c>
      <c r="C15" s="119">
        <v>30094.03</v>
      </c>
      <c r="D15" s="119">
        <v>0</v>
      </c>
      <c r="E15" s="119">
        <v>0</v>
      </c>
      <c r="F15" s="119">
        <v>271067.96164383559</v>
      </c>
      <c r="G15" s="119">
        <v>556024.67441914056</v>
      </c>
      <c r="H15"/>
      <c r="I15"/>
      <c r="J15"/>
      <c r="L15"/>
      <c r="M15"/>
    </row>
    <row r="16" spans="1:13" x14ac:dyDescent="0.25">
      <c r="A16" s="128" t="s">
        <v>582</v>
      </c>
      <c r="B16" s="120">
        <v>20331.689999999999</v>
      </c>
      <c r="C16" s="120">
        <v>105157.00666336263</v>
      </c>
      <c r="D16" s="120">
        <v>3088.36</v>
      </c>
      <c r="E16" s="120">
        <v>48881.520000000004</v>
      </c>
      <c r="F16" s="120">
        <v>294958.45318421233</v>
      </c>
      <c r="G16" s="120">
        <v>472417.029847575</v>
      </c>
      <c r="H16"/>
      <c r="I16"/>
      <c r="J16"/>
      <c r="L16"/>
      <c r="M16"/>
    </row>
    <row r="17" spans="1:13" ht="30" x14ac:dyDescent="0.25">
      <c r="A17" s="129" t="s">
        <v>573</v>
      </c>
      <c r="B17" s="131">
        <v>2589.2400000000052</v>
      </c>
      <c r="C17" s="131">
        <v>30142.400000000001</v>
      </c>
      <c r="D17" s="131">
        <v>380</v>
      </c>
      <c r="E17" s="131">
        <v>41605.339999999997</v>
      </c>
      <c r="F17" s="131">
        <v>200000.00665205478</v>
      </c>
      <c r="G17" s="131">
        <v>274716.98665205482</v>
      </c>
      <c r="H17"/>
      <c r="I17"/>
      <c r="J17"/>
      <c r="L17"/>
      <c r="M17"/>
    </row>
    <row r="18" spans="1:13" x14ac:dyDescent="0.25">
      <c r="A18"/>
      <c r="B18"/>
      <c r="H18"/>
      <c r="I18"/>
      <c r="J18"/>
      <c r="L18"/>
      <c r="M18"/>
    </row>
    <row r="19" spans="1:13" ht="15.75" x14ac:dyDescent="0.25">
      <c r="A19" s="137" t="s">
        <v>583</v>
      </c>
      <c r="B19" s="137"/>
      <c r="C19" s="137"/>
      <c r="D19" s="137"/>
      <c r="E19" s="137"/>
      <c r="F19" s="137"/>
      <c r="G19" s="137"/>
      <c r="H19"/>
      <c r="I19"/>
      <c r="J19"/>
      <c r="L19"/>
      <c r="M19"/>
    </row>
    <row r="20" spans="1:13" ht="45" x14ac:dyDescent="0.25">
      <c r="A20" s="132" t="s">
        <v>8</v>
      </c>
      <c r="B20" s="132" t="s">
        <v>553</v>
      </c>
      <c r="C20" s="132" t="s">
        <v>579</v>
      </c>
      <c r="D20" s="132" t="s">
        <v>580</v>
      </c>
      <c r="E20" s="132" t="s">
        <v>581</v>
      </c>
      <c r="F20" s="132" t="s">
        <v>582</v>
      </c>
      <c r="G20" s="132" t="s">
        <v>573</v>
      </c>
      <c r="H20"/>
      <c r="I20"/>
      <c r="J20"/>
      <c r="L20"/>
      <c r="M20"/>
    </row>
    <row r="21" spans="1:13" x14ac:dyDescent="0.25">
      <c r="A21" s="133" t="s">
        <v>555</v>
      </c>
      <c r="B21" s="130">
        <v>15574044.945025282</v>
      </c>
      <c r="C21" s="130">
        <v>14820661.449178083</v>
      </c>
      <c r="D21" s="130">
        <v>752827.71502528572</v>
      </c>
      <c r="E21" s="119">
        <v>556024.67441914056</v>
      </c>
      <c r="F21" s="120">
        <v>471520.02725819987</v>
      </c>
      <c r="G21" s="121">
        <v>274716.98665205482</v>
      </c>
      <c r="H21"/>
      <c r="I21" t="s">
        <v>584</v>
      </c>
      <c r="J21"/>
      <c r="L21"/>
      <c r="M21"/>
    </row>
    <row r="22" spans="1:13" x14ac:dyDescent="0.25">
      <c r="A22" s="133" t="s">
        <v>0</v>
      </c>
      <c r="B22" s="130">
        <v>7659712.8425893756</v>
      </c>
      <c r="C22" s="130">
        <v>7658815.8399999999</v>
      </c>
      <c r="D22" s="130">
        <v>897.00258937513718</v>
      </c>
      <c r="E22" s="119">
        <v>0</v>
      </c>
      <c r="F22" s="120">
        <v>897.00258937513718</v>
      </c>
      <c r="G22" s="121">
        <v>0</v>
      </c>
      <c r="H22"/>
      <c r="I22" t="s">
        <v>585</v>
      </c>
      <c r="J22"/>
      <c r="L22"/>
      <c r="M22"/>
    </row>
    <row r="23" spans="1:13" x14ac:dyDescent="0.25">
      <c r="A23" s="133" t="s">
        <v>29</v>
      </c>
      <c r="B23" s="130">
        <v>458748.67000000004</v>
      </c>
      <c r="C23" s="130">
        <v>458748.67000000004</v>
      </c>
      <c r="D23" s="130">
        <v>0</v>
      </c>
      <c r="E23" s="119">
        <v>0</v>
      </c>
      <c r="F23" s="120">
        <v>0</v>
      </c>
      <c r="G23" s="121">
        <v>0</v>
      </c>
      <c r="H23"/>
      <c r="I23" t="s">
        <v>586</v>
      </c>
      <c r="J23"/>
      <c r="L23"/>
      <c r="M23"/>
    </row>
    <row r="24" spans="1:13" x14ac:dyDescent="0.25">
      <c r="A24" s="118" t="s">
        <v>572</v>
      </c>
      <c r="B24" s="123">
        <v>23692506.45761466</v>
      </c>
      <c r="C24" s="123">
        <v>22938225.959178083</v>
      </c>
      <c r="D24" s="123">
        <v>753724.71761466085</v>
      </c>
      <c r="E24" s="123">
        <v>556024.67441914056</v>
      </c>
      <c r="F24" s="123">
        <v>472417.029847575</v>
      </c>
      <c r="G24" s="123">
        <v>274716.98665205482</v>
      </c>
      <c r="H24"/>
      <c r="I24"/>
      <c r="J24"/>
      <c r="L24"/>
      <c r="M24"/>
    </row>
    <row r="25" spans="1:13" x14ac:dyDescent="0.25">
      <c r="A25"/>
      <c r="B25"/>
      <c r="H25"/>
      <c r="I25"/>
      <c r="J25"/>
      <c r="L25"/>
      <c r="M25"/>
    </row>
    <row r="26" spans="1:13" x14ac:dyDescent="0.25">
      <c r="A26" s="138" t="s">
        <v>838</v>
      </c>
      <c r="B26" s="138"/>
      <c r="C26" s="138"/>
      <c r="D26" s="138"/>
      <c r="E26" s="138"/>
      <c r="F26" s="138"/>
      <c r="G26" s="138"/>
      <c r="H26" s="138"/>
      <c r="I26" s="138"/>
      <c r="J26" s="138"/>
      <c r="L26"/>
      <c r="M26"/>
    </row>
    <row r="27" spans="1:13" x14ac:dyDescent="0.25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L27"/>
      <c r="M27"/>
    </row>
    <row r="30" spans="1:13" ht="26.1" customHeight="1" x14ac:dyDescent="0.3">
      <c r="A30" s="110" t="s">
        <v>561</v>
      </c>
      <c r="B30" s="110"/>
      <c r="C30" s="108"/>
      <c r="D30" s="108"/>
      <c r="E30" s="108"/>
      <c r="F30" s="108"/>
      <c r="G30" s="108"/>
      <c r="H30" s="108"/>
      <c r="I30" s="108"/>
    </row>
    <row r="31" spans="1:13" x14ac:dyDescent="0.25">
      <c r="A31" s="11" t="s">
        <v>7</v>
      </c>
      <c r="B31" s="113" t="s">
        <v>75</v>
      </c>
      <c r="C31" s="109" t="s">
        <v>553</v>
      </c>
      <c r="D31" s="109" t="s">
        <v>554</v>
      </c>
      <c r="E31" s="109" t="s">
        <v>558</v>
      </c>
      <c r="F31" s="109" t="s">
        <v>839</v>
      </c>
      <c r="G31" t="s">
        <v>840</v>
      </c>
      <c r="H31" s="109" t="s">
        <v>553</v>
      </c>
      <c r="I31" s="109" t="s">
        <v>554</v>
      </c>
      <c r="J31" s="115" t="s">
        <v>558</v>
      </c>
    </row>
    <row r="32" spans="1:13" x14ac:dyDescent="0.25">
      <c r="A32" s="11" t="s">
        <v>587</v>
      </c>
      <c r="B32" s="113" t="s">
        <v>694</v>
      </c>
      <c r="C32" s="109">
        <v>31644</v>
      </c>
      <c r="D32" s="109">
        <v>0</v>
      </c>
      <c r="E32" s="109">
        <v>31644</v>
      </c>
      <c r="F32" s="109" t="s">
        <v>839</v>
      </c>
      <c r="G32" t="s">
        <v>841</v>
      </c>
      <c r="H32" s="109">
        <v>1053476.7944191406</v>
      </c>
      <c r="I32" s="109">
        <v>497452.12</v>
      </c>
      <c r="J32" s="115">
        <v>556024.67441914056</v>
      </c>
    </row>
    <row r="33" spans="1:10" x14ac:dyDescent="0.25">
      <c r="A33" s="11" t="s">
        <v>588</v>
      </c>
      <c r="B33" s="113" t="s">
        <v>695</v>
      </c>
      <c r="C33" s="109">
        <v>33330.361643835618</v>
      </c>
      <c r="D33" s="109">
        <v>0</v>
      </c>
      <c r="E33" s="109">
        <v>33330.361643835618</v>
      </c>
      <c r="F33" s="109" t="s">
        <v>839</v>
      </c>
      <c r="G33" t="s">
        <v>839</v>
      </c>
      <c r="H33" s="109" t="s">
        <v>839</v>
      </c>
      <c r="I33" s="109" t="s">
        <v>839</v>
      </c>
      <c r="J33" s="115" t="s">
        <v>839</v>
      </c>
    </row>
    <row r="34" spans="1:10" x14ac:dyDescent="0.25">
      <c r="A34" s="11" t="s">
        <v>589</v>
      </c>
      <c r="B34" s="113" t="s">
        <v>696</v>
      </c>
      <c r="C34" s="109">
        <v>13440</v>
      </c>
      <c r="D34" s="109">
        <v>0</v>
      </c>
      <c r="E34" s="109">
        <v>13440</v>
      </c>
      <c r="F34" s="109" t="s">
        <v>839</v>
      </c>
      <c r="G34" t="s">
        <v>839</v>
      </c>
      <c r="H34" s="109" t="s">
        <v>839</v>
      </c>
      <c r="I34" s="109" t="s">
        <v>839</v>
      </c>
      <c r="J34" s="115" t="s">
        <v>839</v>
      </c>
    </row>
    <row r="35" spans="1:10" x14ac:dyDescent="0.25">
      <c r="A35" s="11" t="s">
        <v>590</v>
      </c>
      <c r="B35" s="113" t="s">
        <v>697</v>
      </c>
      <c r="C35" s="109">
        <v>588</v>
      </c>
      <c r="D35" s="109">
        <v>0</v>
      </c>
      <c r="E35" s="109">
        <v>588</v>
      </c>
      <c r="F35" s="109" t="s">
        <v>839</v>
      </c>
      <c r="G35" t="s">
        <v>839</v>
      </c>
      <c r="H35" s="109" t="s">
        <v>839</v>
      </c>
      <c r="I35" s="109" t="s">
        <v>839</v>
      </c>
      <c r="J35" s="115" t="s">
        <v>839</v>
      </c>
    </row>
    <row r="36" spans="1:10" x14ac:dyDescent="0.25">
      <c r="A36" s="11" t="s">
        <v>592</v>
      </c>
      <c r="B36" s="113" t="s">
        <v>699</v>
      </c>
      <c r="C36" s="109">
        <v>187065.59999999998</v>
      </c>
      <c r="D36" s="109">
        <v>0</v>
      </c>
      <c r="E36" s="109">
        <v>187065.59999999998</v>
      </c>
      <c r="F36" s="109" t="s">
        <v>839</v>
      </c>
      <c r="G36" t="s">
        <v>839</v>
      </c>
      <c r="H36" s="109" t="s">
        <v>839</v>
      </c>
      <c r="I36" s="109" t="s">
        <v>839</v>
      </c>
      <c r="J36" s="115" t="s">
        <v>839</v>
      </c>
    </row>
    <row r="37" spans="1:10" x14ac:dyDescent="0.25">
      <c r="A37" s="11" t="s">
        <v>593</v>
      </c>
      <c r="B37" s="113" t="s">
        <v>700</v>
      </c>
      <c r="C37" s="109">
        <v>5000</v>
      </c>
      <c r="D37" s="109">
        <v>0</v>
      </c>
      <c r="E37" s="109">
        <v>5000</v>
      </c>
      <c r="F37" s="109" t="s">
        <v>839</v>
      </c>
      <c r="G37" t="s">
        <v>839</v>
      </c>
      <c r="H37" s="109" t="s">
        <v>839</v>
      </c>
      <c r="I37" s="109" t="s">
        <v>839</v>
      </c>
      <c r="J37" s="115" t="s">
        <v>839</v>
      </c>
    </row>
    <row r="38" spans="1:10" x14ac:dyDescent="0.25">
      <c r="A38" s="11" t="s">
        <v>594</v>
      </c>
      <c r="B38" s="113" t="s">
        <v>701</v>
      </c>
      <c r="C38" s="109">
        <v>2.8456501407393504</v>
      </c>
      <c r="D38" s="109">
        <v>0</v>
      </c>
      <c r="E38" s="109">
        <v>2.8456501407393504</v>
      </c>
      <c r="F38" s="109" t="s">
        <v>839</v>
      </c>
      <c r="G38" t="s">
        <v>839</v>
      </c>
      <c r="H38" s="109" t="s">
        <v>839</v>
      </c>
      <c r="I38" s="109" t="s">
        <v>839</v>
      </c>
      <c r="J38" s="115" t="s">
        <v>839</v>
      </c>
    </row>
    <row r="39" spans="1:10" x14ac:dyDescent="0.25">
      <c r="A39" s="11" t="s">
        <v>595</v>
      </c>
      <c r="B39" s="113" t="s">
        <v>702</v>
      </c>
      <c r="C39" s="109">
        <v>44383.56</v>
      </c>
      <c r="D39" s="109">
        <v>21315</v>
      </c>
      <c r="E39" s="109">
        <v>23068.559999999998</v>
      </c>
      <c r="F39" s="109" t="s">
        <v>839</v>
      </c>
      <c r="G39" t="s">
        <v>839</v>
      </c>
      <c r="H39" s="109" t="s">
        <v>839</v>
      </c>
      <c r="I39" s="109" t="s">
        <v>839</v>
      </c>
      <c r="J39" s="115" t="s">
        <v>839</v>
      </c>
    </row>
    <row r="40" spans="1:10" x14ac:dyDescent="0.25">
      <c r="A40" s="11" t="s">
        <v>596</v>
      </c>
      <c r="B40" s="113" t="s">
        <v>703</v>
      </c>
      <c r="C40" s="109">
        <v>4748.9171251641956</v>
      </c>
      <c r="D40" s="109">
        <v>0</v>
      </c>
      <c r="E40" s="109">
        <v>4748.9171251641956</v>
      </c>
      <c r="F40" s="109" t="s">
        <v>839</v>
      </c>
      <c r="G40" t="s">
        <v>839</v>
      </c>
      <c r="H40" s="109" t="s">
        <v>839</v>
      </c>
      <c r="I40" s="109" t="s">
        <v>839</v>
      </c>
      <c r="J40" s="115" t="s">
        <v>839</v>
      </c>
    </row>
    <row r="41" spans="1:10" x14ac:dyDescent="0.25">
      <c r="A41" s="11" t="s">
        <v>597</v>
      </c>
      <c r="B41" s="113" t="s">
        <v>704</v>
      </c>
      <c r="C41" s="109">
        <v>16835.05</v>
      </c>
      <c r="D41" s="109">
        <v>0</v>
      </c>
      <c r="E41" s="109">
        <v>16835.05</v>
      </c>
      <c r="F41" s="109" t="s">
        <v>839</v>
      </c>
      <c r="G41" t="s">
        <v>839</v>
      </c>
      <c r="H41" s="109" t="s">
        <v>839</v>
      </c>
      <c r="I41" s="109" t="s">
        <v>839</v>
      </c>
      <c r="J41" s="115" t="s">
        <v>839</v>
      </c>
    </row>
    <row r="42" spans="1:10" x14ac:dyDescent="0.25">
      <c r="A42" s="11" t="s">
        <v>600</v>
      </c>
      <c r="B42" s="113" t="s">
        <v>707</v>
      </c>
      <c r="C42" s="109">
        <v>18158.900000000001</v>
      </c>
      <c r="D42" s="109">
        <v>13921</v>
      </c>
      <c r="E42" s="109">
        <v>4237.9000000000015</v>
      </c>
      <c r="F42" s="109" t="s">
        <v>839</v>
      </c>
      <c r="G42" t="s">
        <v>839</v>
      </c>
      <c r="H42" s="109" t="s">
        <v>839</v>
      </c>
      <c r="I42" s="109" t="s">
        <v>839</v>
      </c>
      <c r="J42" s="115" t="s">
        <v>839</v>
      </c>
    </row>
    <row r="43" spans="1:10" x14ac:dyDescent="0.25">
      <c r="A43" s="11" t="s">
        <v>602</v>
      </c>
      <c r="B43" s="113" t="s">
        <v>709</v>
      </c>
      <c r="C43" s="109">
        <v>354869.79</v>
      </c>
      <c r="D43" s="109">
        <v>166469</v>
      </c>
      <c r="E43" s="109">
        <v>188400.78999999998</v>
      </c>
      <c r="F43" s="109" t="s">
        <v>839</v>
      </c>
      <c r="G43" t="s">
        <v>839</v>
      </c>
      <c r="H43" s="109" t="s">
        <v>839</v>
      </c>
      <c r="I43" s="109" t="s">
        <v>839</v>
      </c>
      <c r="J43" s="115" t="s">
        <v>839</v>
      </c>
    </row>
    <row r="44" spans="1:10" ht="15" customHeight="1" x14ac:dyDescent="0.25">
      <c r="A44" s="11" t="s">
        <v>603</v>
      </c>
      <c r="B44" s="113" t="s">
        <v>710</v>
      </c>
      <c r="C44" s="109">
        <v>145598</v>
      </c>
      <c r="D44" s="109">
        <v>141000</v>
      </c>
      <c r="E44" s="109">
        <v>4598</v>
      </c>
      <c r="F44" s="109" t="s">
        <v>839</v>
      </c>
      <c r="G44" t="s">
        <v>839</v>
      </c>
      <c r="H44" s="109" t="s">
        <v>839</v>
      </c>
      <c r="I44" s="109" t="s">
        <v>839</v>
      </c>
      <c r="J44" s="115" t="s">
        <v>839</v>
      </c>
    </row>
    <row r="45" spans="1:10" x14ac:dyDescent="0.25">
      <c r="A45" s="111" t="s">
        <v>606</v>
      </c>
      <c r="B45" s="114" t="s">
        <v>713</v>
      </c>
      <c r="C45" s="112">
        <v>89342.25</v>
      </c>
      <c r="D45" s="112">
        <v>81676</v>
      </c>
      <c r="E45" s="112">
        <v>7666.25</v>
      </c>
      <c r="F45" s="109" t="s">
        <v>839</v>
      </c>
      <c r="G45" t="s">
        <v>839</v>
      </c>
      <c r="H45" s="109" t="s">
        <v>839</v>
      </c>
      <c r="I45" s="109" t="s">
        <v>839</v>
      </c>
      <c r="J45" s="115" t="s">
        <v>839</v>
      </c>
    </row>
    <row r="46" spans="1:10" x14ac:dyDescent="0.25">
      <c r="A46" s="11" t="s">
        <v>607</v>
      </c>
      <c r="B46" s="113" t="s">
        <v>714</v>
      </c>
      <c r="C46" s="109">
        <v>21602.37</v>
      </c>
      <c r="D46" s="109">
        <v>16705</v>
      </c>
      <c r="E46" s="109">
        <v>4897.369999999999</v>
      </c>
      <c r="F46" s="109" t="s">
        <v>839</v>
      </c>
      <c r="G46" t="s">
        <v>839</v>
      </c>
      <c r="H46" s="109" t="s">
        <v>839</v>
      </c>
      <c r="I46" s="109" t="s">
        <v>839</v>
      </c>
      <c r="J46" s="115" t="s">
        <v>839</v>
      </c>
    </row>
    <row r="47" spans="1:10" x14ac:dyDescent="0.25">
      <c r="A47" s="11" t="s">
        <v>613</v>
      </c>
      <c r="B47" s="113" t="s">
        <v>723</v>
      </c>
      <c r="C47" s="109">
        <v>20822.12</v>
      </c>
      <c r="D47" s="109">
        <v>20822.12</v>
      </c>
      <c r="E47" s="109">
        <v>0</v>
      </c>
      <c r="F47" s="109" t="s">
        <v>839</v>
      </c>
      <c r="G47" t="s">
        <v>839</v>
      </c>
      <c r="H47" s="109" t="s">
        <v>839</v>
      </c>
      <c r="I47" s="109" t="s">
        <v>839</v>
      </c>
      <c r="J47" s="115" t="s">
        <v>839</v>
      </c>
    </row>
    <row r="48" spans="1:10" x14ac:dyDescent="0.25">
      <c r="A48" s="11" t="s">
        <v>615</v>
      </c>
      <c r="B48" s="113" t="s">
        <v>724</v>
      </c>
      <c r="C48" s="109">
        <v>2116</v>
      </c>
      <c r="D48" s="109">
        <v>1709</v>
      </c>
      <c r="E48" s="109">
        <v>407</v>
      </c>
      <c r="F48" s="109" t="s">
        <v>839</v>
      </c>
      <c r="G48" t="s">
        <v>839</v>
      </c>
      <c r="H48" s="109" t="s">
        <v>839</v>
      </c>
      <c r="I48" s="109" t="s">
        <v>839</v>
      </c>
      <c r="J48" s="115" t="s">
        <v>839</v>
      </c>
    </row>
    <row r="49" spans="1:10" x14ac:dyDescent="0.25">
      <c r="A49" s="11" t="s">
        <v>618</v>
      </c>
      <c r="B49" s="113" t="s">
        <v>727</v>
      </c>
      <c r="C49" s="109">
        <v>29440</v>
      </c>
      <c r="D49" s="109">
        <v>27511</v>
      </c>
      <c r="E49" s="109">
        <v>1929</v>
      </c>
      <c r="F49" s="109" t="s">
        <v>839</v>
      </c>
      <c r="G49" t="s">
        <v>839</v>
      </c>
      <c r="H49" s="109" t="s">
        <v>839</v>
      </c>
      <c r="I49" s="109" t="s">
        <v>839</v>
      </c>
      <c r="J49" s="115" t="s">
        <v>839</v>
      </c>
    </row>
    <row r="50" spans="1:10" x14ac:dyDescent="0.25">
      <c r="A50" s="11" t="s">
        <v>620</v>
      </c>
      <c r="B50" s="113" t="s">
        <v>729</v>
      </c>
      <c r="C50" s="109">
        <v>12185.9</v>
      </c>
      <c r="D50" s="109">
        <v>6116</v>
      </c>
      <c r="E50" s="109">
        <v>6069.9</v>
      </c>
      <c r="F50" s="109" t="s">
        <v>839</v>
      </c>
      <c r="G50" t="s">
        <v>839</v>
      </c>
      <c r="H50" s="109" t="s">
        <v>839</v>
      </c>
      <c r="I50" s="109" t="s">
        <v>839</v>
      </c>
      <c r="J50" s="115" t="s">
        <v>839</v>
      </c>
    </row>
    <row r="51" spans="1:10" x14ac:dyDescent="0.25">
      <c r="A51" s="11" t="s">
        <v>613</v>
      </c>
      <c r="B51" s="113" t="s">
        <v>731</v>
      </c>
      <c r="C51" s="109">
        <v>300.42</v>
      </c>
      <c r="D51" s="109">
        <v>208</v>
      </c>
      <c r="E51" s="109">
        <v>92.420000000000016</v>
      </c>
      <c r="F51" s="109" t="s">
        <v>839</v>
      </c>
      <c r="G51" t="s">
        <v>839</v>
      </c>
      <c r="H51" s="109" t="s">
        <v>839</v>
      </c>
      <c r="I51" s="109" t="s">
        <v>839</v>
      </c>
      <c r="J51" s="115" t="s">
        <v>839</v>
      </c>
    </row>
    <row r="52" spans="1:10" x14ac:dyDescent="0.25">
      <c r="A52" s="11" t="s">
        <v>622</v>
      </c>
      <c r="B52" s="113" t="s">
        <v>732</v>
      </c>
      <c r="C52" s="109">
        <v>12400.71</v>
      </c>
      <c r="D52" s="109">
        <v>0</v>
      </c>
      <c r="E52" s="109">
        <v>12400.71</v>
      </c>
      <c r="F52" s="109" t="s">
        <v>839</v>
      </c>
      <c r="G52" t="s">
        <v>839</v>
      </c>
      <c r="H52" s="109" t="s">
        <v>839</v>
      </c>
      <c r="I52" s="109" t="s">
        <v>839</v>
      </c>
      <c r="J52" s="115" t="s">
        <v>839</v>
      </c>
    </row>
    <row r="53" spans="1:10" x14ac:dyDescent="0.25">
      <c r="A53" s="11" t="s">
        <v>618</v>
      </c>
      <c r="B53" s="113" t="s">
        <v>735</v>
      </c>
      <c r="C53" s="109">
        <v>9602</v>
      </c>
      <c r="D53" s="109">
        <v>0</v>
      </c>
      <c r="E53" s="109">
        <v>9602</v>
      </c>
      <c r="F53" s="109" t="s">
        <v>839</v>
      </c>
      <c r="G53" t="s">
        <v>839</v>
      </c>
      <c r="H53" s="109" t="s">
        <v>839</v>
      </c>
      <c r="I53" s="109" t="s">
        <v>839</v>
      </c>
      <c r="J53" s="115" t="s">
        <v>839</v>
      </c>
    </row>
    <row r="54" spans="1:10" x14ac:dyDescent="0.25">
      <c r="A54" s="11" t="s">
        <v>839</v>
      </c>
      <c r="B54" s="113" t="s">
        <v>839</v>
      </c>
      <c r="C54" s="109" t="s">
        <v>839</v>
      </c>
      <c r="D54" s="109" t="s">
        <v>839</v>
      </c>
      <c r="E54" s="109" t="s">
        <v>839</v>
      </c>
      <c r="F54" s="109" t="s">
        <v>839</v>
      </c>
      <c r="G54" t="s">
        <v>839</v>
      </c>
      <c r="H54" s="109" t="s">
        <v>839</v>
      </c>
      <c r="I54" s="109" t="s">
        <v>839</v>
      </c>
      <c r="J54" s="115" t="s">
        <v>839</v>
      </c>
    </row>
    <row r="55" spans="1:10" x14ac:dyDescent="0.25">
      <c r="A55" s="11" t="s">
        <v>839</v>
      </c>
      <c r="B55" s="113" t="s">
        <v>839</v>
      </c>
      <c r="C55" s="109" t="s">
        <v>839</v>
      </c>
      <c r="D55" s="109" t="s">
        <v>839</v>
      </c>
      <c r="E55" s="109" t="s">
        <v>839</v>
      </c>
      <c r="F55" s="109" t="s">
        <v>839</v>
      </c>
      <c r="G55" t="s">
        <v>839</v>
      </c>
      <c r="H55" s="109" t="s">
        <v>839</v>
      </c>
      <c r="I55" s="109" t="s">
        <v>839</v>
      </c>
      <c r="J55" s="115" t="s">
        <v>839</v>
      </c>
    </row>
    <row r="56" spans="1:10" x14ac:dyDescent="0.25">
      <c r="A56" s="11" t="s">
        <v>842</v>
      </c>
      <c r="B56" s="113" t="s">
        <v>839</v>
      </c>
      <c r="C56" s="109" t="s">
        <v>839</v>
      </c>
      <c r="D56" s="109" t="s">
        <v>839</v>
      </c>
      <c r="E56" s="109" t="s">
        <v>839</v>
      </c>
      <c r="F56" s="109" t="s">
        <v>839</v>
      </c>
      <c r="G56" t="s">
        <v>839</v>
      </c>
      <c r="H56" s="109" t="s">
        <v>839</v>
      </c>
      <c r="I56" s="109" t="s">
        <v>839</v>
      </c>
      <c r="J56" s="115" t="s">
        <v>839</v>
      </c>
    </row>
    <row r="57" spans="1:10" x14ac:dyDescent="0.25">
      <c r="A57" s="11" t="s">
        <v>7</v>
      </c>
      <c r="B57" s="113" t="s">
        <v>75</v>
      </c>
      <c r="C57" s="109" t="s">
        <v>843</v>
      </c>
      <c r="D57" s="109" t="s">
        <v>553</v>
      </c>
      <c r="E57" s="109" t="s">
        <v>554</v>
      </c>
      <c r="F57" s="109" t="s">
        <v>558</v>
      </c>
      <c r="G57" t="s">
        <v>844</v>
      </c>
      <c r="H57" s="109" t="s">
        <v>553</v>
      </c>
      <c r="I57" s="109" t="s">
        <v>554</v>
      </c>
      <c r="J57" s="115" t="s">
        <v>558</v>
      </c>
    </row>
    <row r="58" spans="1:10" x14ac:dyDescent="0.25">
      <c r="A58" s="11" t="s">
        <v>601</v>
      </c>
      <c r="B58" s="113" t="s">
        <v>708</v>
      </c>
      <c r="C58" s="109" t="s">
        <v>845</v>
      </c>
      <c r="D58" s="109">
        <v>10897.62</v>
      </c>
      <c r="E58" s="109">
        <v>10897.62</v>
      </c>
      <c r="F58" s="109">
        <v>0</v>
      </c>
      <c r="G58" t="s">
        <v>846</v>
      </c>
      <c r="H58" s="109">
        <v>14520568.150606142</v>
      </c>
      <c r="I58" s="109">
        <v>14323209.329178084</v>
      </c>
      <c r="J58" s="115">
        <v>196803.04060614502</v>
      </c>
    </row>
    <row r="59" spans="1:10" x14ac:dyDescent="0.25">
      <c r="A59" s="11" t="s">
        <v>611</v>
      </c>
      <c r="B59" s="113" t="s">
        <v>718</v>
      </c>
      <c r="C59" s="109" t="s">
        <v>847</v>
      </c>
      <c r="D59" s="109">
        <v>6959.34</v>
      </c>
      <c r="E59" s="109">
        <v>6959.34</v>
      </c>
      <c r="F59" s="109">
        <v>0</v>
      </c>
      <c r="H59" s="109"/>
      <c r="I59" s="109"/>
      <c r="J59" s="115"/>
    </row>
    <row r="60" spans="1:10" x14ac:dyDescent="0.25">
      <c r="A60" s="11" t="s">
        <v>612</v>
      </c>
      <c r="B60" s="113" t="s">
        <v>719</v>
      </c>
      <c r="C60" s="109" t="s">
        <v>848</v>
      </c>
      <c r="D60" s="109">
        <v>4000</v>
      </c>
      <c r="E60" s="109">
        <v>3928.96</v>
      </c>
      <c r="F60" s="109">
        <v>71.039999999999964</v>
      </c>
      <c r="H60" s="109"/>
      <c r="I60" s="109"/>
      <c r="J60" s="115"/>
    </row>
    <row r="61" spans="1:10" x14ac:dyDescent="0.25">
      <c r="A61" s="11" t="s">
        <v>613</v>
      </c>
      <c r="B61" s="113" t="s">
        <v>720</v>
      </c>
      <c r="C61" s="109" t="s">
        <v>849</v>
      </c>
      <c r="D61" s="109">
        <v>3496.56</v>
      </c>
      <c r="E61" s="109">
        <v>0</v>
      </c>
      <c r="F61" s="109">
        <v>3496.56</v>
      </c>
      <c r="H61" s="109"/>
      <c r="I61" s="109"/>
      <c r="J61" s="115"/>
    </row>
    <row r="62" spans="1:10" x14ac:dyDescent="0.25">
      <c r="A62" s="11" t="s">
        <v>613</v>
      </c>
      <c r="B62" s="113" t="s">
        <v>721</v>
      </c>
      <c r="C62" s="109" t="s">
        <v>849</v>
      </c>
      <c r="D62" s="109">
        <v>16764.09</v>
      </c>
      <c r="E62" s="109">
        <v>0</v>
      </c>
      <c r="F62" s="109">
        <v>16764.09</v>
      </c>
      <c r="H62" s="109"/>
      <c r="I62" s="109"/>
      <c r="J62" s="115"/>
    </row>
    <row r="63" spans="1:10" x14ac:dyDescent="0.25">
      <c r="A63" s="11" t="s">
        <v>617</v>
      </c>
      <c r="B63" s="113" t="s">
        <v>726</v>
      </c>
      <c r="C63" s="109" t="s">
        <v>850</v>
      </c>
      <c r="D63" s="109">
        <v>83410.759999999995</v>
      </c>
      <c r="E63" s="109">
        <v>86000</v>
      </c>
      <c r="F63" s="109">
        <v>-2589.2400000000052</v>
      </c>
      <c r="H63" s="109"/>
      <c r="I63" s="109"/>
      <c r="J63" s="115"/>
    </row>
    <row r="64" spans="1:10" x14ac:dyDescent="0.25">
      <c r="A64" s="11" t="s">
        <v>619</v>
      </c>
      <c r="B64" s="113" t="s">
        <v>728</v>
      </c>
      <c r="C64" s="109" t="s">
        <v>851</v>
      </c>
      <c r="D64" s="109">
        <v>1771.24</v>
      </c>
      <c r="E64" s="109">
        <v>1771.24</v>
      </c>
      <c r="F64" s="109">
        <v>0</v>
      </c>
      <c r="H64" s="109"/>
      <c r="I64" s="109"/>
      <c r="J64" s="115"/>
    </row>
    <row r="65" spans="1:10" x14ac:dyDescent="0.25">
      <c r="A65" s="11" t="s">
        <v>621</v>
      </c>
      <c r="B65" s="113" t="s">
        <v>730</v>
      </c>
      <c r="C65" s="109" t="s">
        <v>852</v>
      </c>
      <c r="D65" s="109">
        <v>2558.56</v>
      </c>
      <c r="E65" s="109">
        <v>2558.56</v>
      </c>
      <c r="F65" s="109">
        <v>0</v>
      </c>
      <c r="H65" s="109"/>
      <c r="I65" s="109"/>
      <c r="J65" s="115"/>
    </row>
    <row r="66" spans="1:10" x14ac:dyDescent="0.25">
      <c r="A66" s="11" t="s">
        <v>623</v>
      </c>
      <c r="B66" s="113" t="s">
        <v>736</v>
      </c>
      <c r="C66" s="109" t="s">
        <v>853</v>
      </c>
      <c r="D66" s="109">
        <v>63000</v>
      </c>
      <c r="E66" s="109">
        <v>63000</v>
      </c>
      <c r="F66" s="109">
        <v>0</v>
      </c>
      <c r="H66" s="109"/>
      <c r="I66" s="109"/>
      <c r="J66" s="115"/>
    </row>
    <row r="67" spans="1:10" x14ac:dyDescent="0.25">
      <c r="A67" s="11" t="s">
        <v>624</v>
      </c>
      <c r="B67" s="113" t="s">
        <v>737</v>
      </c>
      <c r="C67" s="109" t="s">
        <v>854</v>
      </c>
      <c r="D67" s="109">
        <v>62507</v>
      </c>
      <c r="E67" s="109">
        <v>62507</v>
      </c>
      <c r="F67" s="109">
        <v>0</v>
      </c>
      <c r="H67" s="109"/>
      <c r="I67" s="109"/>
      <c r="J67" s="115"/>
    </row>
    <row r="68" spans="1:10" x14ac:dyDescent="0.25">
      <c r="A68" s="11" t="s">
        <v>625</v>
      </c>
      <c r="B68" s="113" t="s">
        <v>738</v>
      </c>
      <c r="C68" s="109" t="s">
        <v>855</v>
      </c>
      <c r="D68" s="109">
        <v>15442.02</v>
      </c>
      <c r="E68" s="109">
        <v>15442.02</v>
      </c>
      <c r="F68" s="109">
        <v>0</v>
      </c>
      <c r="H68" s="109"/>
      <c r="I68" s="109"/>
      <c r="J68" s="115"/>
    </row>
    <row r="69" spans="1:10" x14ac:dyDescent="0.25">
      <c r="A69" s="11" t="s">
        <v>626</v>
      </c>
      <c r="B69" s="113" t="s">
        <v>739</v>
      </c>
      <c r="C69" s="109" t="s">
        <v>856</v>
      </c>
      <c r="D69" s="109">
        <v>22489.93</v>
      </c>
      <c r="E69" s="109">
        <v>22489.93</v>
      </c>
      <c r="F69" s="109">
        <v>0</v>
      </c>
      <c r="H69" s="109"/>
      <c r="I69" s="109"/>
      <c r="J69" s="115"/>
    </row>
    <row r="70" spans="1:10" x14ac:dyDescent="0.25">
      <c r="A70" s="11" t="s">
        <v>628</v>
      </c>
      <c r="B70" s="113" t="s">
        <v>741</v>
      </c>
      <c r="C70" s="109" t="s">
        <v>857</v>
      </c>
      <c r="D70" s="109">
        <v>55533.21</v>
      </c>
      <c r="E70" s="109">
        <v>55533.21</v>
      </c>
      <c r="F70" s="109">
        <v>0</v>
      </c>
      <c r="H70" s="109"/>
      <c r="I70" s="109"/>
      <c r="J70" s="115"/>
    </row>
    <row r="71" spans="1:10" x14ac:dyDescent="0.25">
      <c r="A71" s="11" t="s">
        <v>629</v>
      </c>
      <c r="B71" s="113" t="s">
        <v>742</v>
      </c>
      <c r="C71" s="109" t="s">
        <v>858</v>
      </c>
      <c r="D71" s="109">
        <v>44854.09</v>
      </c>
      <c r="E71" s="109">
        <v>44854.09</v>
      </c>
      <c r="F71" s="109">
        <v>0</v>
      </c>
      <c r="H71" s="109"/>
      <c r="I71" s="109"/>
      <c r="J71" s="115"/>
    </row>
    <row r="72" spans="1:10" x14ac:dyDescent="0.25">
      <c r="A72" s="11" t="s">
        <v>630</v>
      </c>
      <c r="B72" s="113" t="s">
        <v>743</v>
      </c>
      <c r="C72" s="109" t="s">
        <v>859</v>
      </c>
      <c r="D72" s="109">
        <v>0</v>
      </c>
      <c r="E72" s="109">
        <v>142.4</v>
      </c>
      <c r="F72" s="109">
        <v>-142.4</v>
      </c>
      <c r="H72" s="109"/>
      <c r="I72" s="109"/>
      <c r="J72" s="115"/>
    </row>
    <row r="73" spans="1:10" x14ac:dyDescent="0.25">
      <c r="A73" s="11" t="s">
        <v>631</v>
      </c>
      <c r="B73" s="113" t="s">
        <v>744</v>
      </c>
      <c r="C73" s="109" t="s">
        <v>860</v>
      </c>
      <c r="D73" s="109">
        <v>16000</v>
      </c>
      <c r="E73" s="109">
        <v>10780.5</v>
      </c>
      <c r="F73" s="109">
        <v>5219.5</v>
      </c>
      <c r="H73" s="109"/>
      <c r="I73" s="109"/>
      <c r="J73" s="115"/>
    </row>
    <row r="74" spans="1:10" x14ac:dyDescent="0.25">
      <c r="A74" s="11" t="s">
        <v>632</v>
      </c>
      <c r="B74" s="113" t="s">
        <v>745</v>
      </c>
      <c r="C74" s="109" t="s">
        <v>860</v>
      </c>
      <c r="D74" s="109">
        <v>38169.86</v>
      </c>
      <c r="E74" s="109">
        <v>38169.86</v>
      </c>
      <c r="F74" s="109">
        <v>0</v>
      </c>
      <c r="H74" s="109"/>
      <c r="I74" s="109"/>
      <c r="J74" s="115"/>
    </row>
    <row r="75" spans="1:10" x14ac:dyDescent="0.25">
      <c r="A75" s="11" t="s">
        <v>633</v>
      </c>
      <c r="B75" s="113" t="s">
        <v>746</v>
      </c>
      <c r="C75" s="109" t="s">
        <v>861</v>
      </c>
      <c r="D75" s="109">
        <v>72737.119999999995</v>
      </c>
      <c r="E75" s="109">
        <v>72737.119999999995</v>
      </c>
      <c r="F75" s="109">
        <v>0</v>
      </c>
      <c r="H75" s="109"/>
      <c r="I75" s="109"/>
      <c r="J75" s="115"/>
    </row>
    <row r="76" spans="1:10" x14ac:dyDescent="0.25">
      <c r="A76" s="11" t="s">
        <v>634</v>
      </c>
      <c r="B76" s="113" t="s">
        <v>747</v>
      </c>
      <c r="C76" s="109" t="s">
        <v>862</v>
      </c>
      <c r="D76" s="109">
        <v>7767.45</v>
      </c>
      <c r="E76" s="109">
        <v>6000</v>
      </c>
      <c r="F76" s="109">
        <v>1767.4499999999998</v>
      </c>
      <c r="H76" s="109"/>
      <c r="I76" s="109"/>
      <c r="J76" s="115"/>
    </row>
    <row r="77" spans="1:10" x14ac:dyDescent="0.25">
      <c r="A77" s="11" t="s">
        <v>620</v>
      </c>
      <c r="B77" s="113" t="s">
        <v>753</v>
      </c>
      <c r="C77" s="109" t="s">
        <v>863</v>
      </c>
      <c r="D77" s="109">
        <v>513</v>
      </c>
      <c r="E77" s="109">
        <v>513</v>
      </c>
      <c r="F77" s="109">
        <v>0</v>
      </c>
      <c r="H77" s="109"/>
      <c r="I77" s="109"/>
      <c r="J77" s="115"/>
    </row>
    <row r="78" spans="1:10" x14ac:dyDescent="0.25">
      <c r="A78" s="11" t="s">
        <v>639</v>
      </c>
      <c r="B78" s="113" t="s">
        <v>754</v>
      </c>
      <c r="C78" s="109" t="s">
        <v>864</v>
      </c>
      <c r="D78" s="109">
        <v>83640.899999999994</v>
      </c>
      <c r="E78" s="109">
        <v>83640.899999999994</v>
      </c>
      <c r="F78" s="109">
        <v>0</v>
      </c>
      <c r="H78" s="109"/>
      <c r="I78" s="109"/>
      <c r="J78" s="115"/>
    </row>
    <row r="79" spans="1:10" x14ac:dyDescent="0.25">
      <c r="A79" s="11" t="s">
        <v>641</v>
      </c>
      <c r="B79" s="113" t="s">
        <v>756</v>
      </c>
      <c r="C79" s="109" t="s">
        <v>865</v>
      </c>
      <c r="D79" s="109">
        <v>819389.08</v>
      </c>
      <c r="E79" s="109">
        <v>819389.08</v>
      </c>
      <c r="F79" s="109">
        <v>0</v>
      </c>
      <c r="H79" s="109"/>
      <c r="I79" s="109"/>
      <c r="J79" s="115"/>
    </row>
    <row r="80" spans="1:10" x14ac:dyDescent="0.25">
      <c r="A80" s="11" t="s">
        <v>641</v>
      </c>
      <c r="B80" s="113" t="s">
        <v>757</v>
      </c>
      <c r="C80" s="109" t="s">
        <v>865</v>
      </c>
      <c r="D80" s="109">
        <v>114542.94</v>
      </c>
      <c r="E80" s="109">
        <v>144542.94</v>
      </c>
      <c r="F80" s="109">
        <v>-30000</v>
      </c>
      <c r="H80" s="109"/>
      <c r="I80" s="109"/>
      <c r="J80" s="115"/>
    </row>
    <row r="81" spans="1:10" x14ac:dyDescent="0.25">
      <c r="A81" s="11" t="s">
        <v>642</v>
      </c>
      <c r="B81" s="113" t="s">
        <v>758</v>
      </c>
      <c r="C81" s="109" t="s">
        <v>866</v>
      </c>
      <c r="D81" s="109">
        <v>1806000</v>
      </c>
      <c r="E81" s="109">
        <v>1806000</v>
      </c>
      <c r="F81" s="109">
        <v>0</v>
      </c>
      <c r="H81" s="109"/>
      <c r="I81" s="109"/>
      <c r="J81" s="115"/>
    </row>
    <row r="82" spans="1:10" x14ac:dyDescent="0.25">
      <c r="A82" s="11" t="s">
        <v>642</v>
      </c>
      <c r="B82" s="113" t="s">
        <v>765</v>
      </c>
      <c r="C82" s="109" t="s">
        <v>866</v>
      </c>
      <c r="D82" s="109">
        <v>76651.436663362634</v>
      </c>
      <c r="E82" s="109">
        <v>0</v>
      </c>
      <c r="F82" s="109">
        <v>76651.436663362634</v>
      </c>
      <c r="H82" s="109"/>
      <c r="I82" s="109"/>
      <c r="J82" s="115"/>
    </row>
    <row r="83" spans="1:10" x14ac:dyDescent="0.25">
      <c r="A83" s="11" t="s">
        <v>643</v>
      </c>
      <c r="B83" s="113" t="s">
        <v>766</v>
      </c>
      <c r="C83" s="109" t="s">
        <v>866</v>
      </c>
      <c r="D83" s="109">
        <v>74680.820000000007</v>
      </c>
      <c r="E83" s="109">
        <v>74680.820000000007</v>
      </c>
      <c r="F83" s="109">
        <v>0</v>
      </c>
      <c r="H83" s="109"/>
      <c r="I83" s="109"/>
      <c r="J83" s="115"/>
    </row>
    <row r="84" spans="1:10" x14ac:dyDescent="0.25">
      <c r="A84" s="11" t="s">
        <v>644</v>
      </c>
      <c r="B84" s="113" t="s">
        <v>767</v>
      </c>
      <c r="C84" s="109" t="s">
        <v>866</v>
      </c>
      <c r="D84" s="109">
        <v>24773.62</v>
      </c>
      <c r="E84" s="109">
        <v>13440</v>
      </c>
      <c r="F84" s="109">
        <v>11333.619999999999</v>
      </c>
      <c r="H84" s="109"/>
      <c r="I84" s="109"/>
      <c r="J84" s="115"/>
    </row>
    <row r="85" spans="1:10" x14ac:dyDescent="0.25">
      <c r="A85" s="11" t="s">
        <v>632</v>
      </c>
      <c r="B85" s="113" t="s">
        <v>768</v>
      </c>
      <c r="C85" s="109" t="s">
        <v>866</v>
      </c>
      <c r="D85" s="109">
        <v>10185</v>
      </c>
      <c r="E85" s="109">
        <v>0</v>
      </c>
      <c r="F85" s="109">
        <v>10185</v>
      </c>
      <c r="H85" s="109"/>
      <c r="I85" s="109"/>
      <c r="J85" s="115"/>
    </row>
    <row r="86" spans="1:10" x14ac:dyDescent="0.25">
      <c r="A86" s="11" t="s">
        <v>645</v>
      </c>
      <c r="B86" s="113" t="s">
        <v>770</v>
      </c>
      <c r="C86" s="109" t="s">
        <v>867</v>
      </c>
      <c r="D86" s="109">
        <v>836817.43</v>
      </c>
      <c r="E86" s="109">
        <v>836817.43</v>
      </c>
      <c r="F86" s="109">
        <v>0</v>
      </c>
      <c r="H86" s="109"/>
      <c r="I86" s="109"/>
      <c r="J86" s="115"/>
    </row>
    <row r="87" spans="1:10" x14ac:dyDescent="0.25">
      <c r="A87" s="11" t="s">
        <v>646</v>
      </c>
      <c r="B87" s="113" t="s">
        <v>771</v>
      </c>
      <c r="C87" s="109" t="s">
        <v>868</v>
      </c>
      <c r="D87" s="109">
        <v>43880.53</v>
      </c>
      <c r="E87" s="109">
        <v>43880.53</v>
      </c>
      <c r="F87" s="109">
        <v>0</v>
      </c>
      <c r="H87" s="109"/>
      <c r="I87" s="109"/>
      <c r="J87" s="115"/>
    </row>
    <row r="88" spans="1:10" x14ac:dyDescent="0.25">
      <c r="A88" s="11" t="s">
        <v>647</v>
      </c>
      <c r="B88" s="113" t="s">
        <v>772</v>
      </c>
      <c r="C88" s="109" t="s">
        <v>868</v>
      </c>
      <c r="D88" s="109">
        <v>678.87</v>
      </c>
      <c r="E88" s="109">
        <v>678.87</v>
      </c>
      <c r="F88" s="109">
        <v>0</v>
      </c>
      <c r="H88" s="109"/>
      <c r="I88" s="109"/>
      <c r="J88" s="115"/>
    </row>
    <row r="89" spans="1:10" x14ac:dyDescent="0.25">
      <c r="A89" s="11" t="s">
        <v>648</v>
      </c>
      <c r="B89" s="113" t="s">
        <v>773</v>
      </c>
      <c r="C89" s="109" t="s">
        <v>869</v>
      </c>
      <c r="D89" s="109">
        <v>2474.14</v>
      </c>
      <c r="E89" s="109">
        <v>2474.14</v>
      </c>
      <c r="F89" s="109">
        <v>0</v>
      </c>
      <c r="H89" s="109"/>
      <c r="I89" s="109"/>
      <c r="J89" s="115"/>
    </row>
    <row r="90" spans="1:10" x14ac:dyDescent="0.25">
      <c r="A90" s="11" t="s">
        <v>640</v>
      </c>
      <c r="B90" s="113" t="s">
        <v>775</v>
      </c>
      <c r="C90" s="109" t="s">
        <v>870</v>
      </c>
      <c r="D90" s="109">
        <v>0</v>
      </c>
      <c r="E90" s="109">
        <v>0</v>
      </c>
      <c r="F90" s="109">
        <v>0</v>
      </c>
      <c r="H90" s="109"/>
      <c r="I90" s="109"/>
      <c r="J90" s="115"/>
    </row>
    <row r="91" spans="1:10" x14ac:dyDescent="0.25">
      <c r="A91" s="11" t="s">
        <v>619</v>
      </c>
      <c r="B91" s="113" t="s">
        <v>776</v>
      </c>
      <c r="C91" s="109" t="s">
        <v>870</v>
      </c>
      <c r="D91" s="109">
        <v>1788.49</v>
      </c>
      <c r="E91" s="109">
        <v>1788.49</v>
      </c>
      <c r="F91" s="109">
        <v>0</v>
      </c>
      <c r="H91" s="109"/>
      <c r="I91" s="109"/>
      <c r="J91" s="115"/>
    </row>
    <row r="92" spans="1:10" x14ac:dyDescent="0.25">
      <c r="A92" s="11" t="s">
        <v>652</v>
      </c>
      <c r="B92" s="113" t="s">
        <v>779</v>
      </c>
      <c r="C92" s="109" t="s">
        <v>871</v>
      </c>
      <c r="D92" s="109">
        <v>85828.33</v>
      </c>
      <c r="E92" s="109">
        <v>85828.33</v>
      </c>
      <c r="F92" s="109">
        <v>0</v>
      </c>
      <c r="H92" s="109"/>
      <c r="I92" s="109"/>
      <c r="J92" s="115"/>
    </row>
    <row r="93" spans="1:10" x14ac:dyDescent="0.25">
      <c r="A93" s="11" t="s">
        <v>654</v>
      </c>
      <c r="B93" s="113" t="s">
        <v>781</v>
      </c>
      <c r="C93" s="109" t="s">
        <v>872</v>
      </c>
      <c r="D93" s="109">
        <v>420</v>
      </c>
      <c r="E93" s="109">
        <v>179.50684931506851</v>
      </c>
      <c r="F93" s="109">
        <v>0</v>
      </c>
      <c r="H93" s="109"/>
      <c r="I93" s="109"/>
      <c r="J93" s="115"/>
    </row>
    <row r="94" spans="1:10" x14ac:dyDescent="0.25">
      <c r="A94" s="11" t="s">
        <v>655</v>
      </c>
      <c r="B94" s="113" t="s">
        <v>782</v>
      </c>
      <c r="C94" s="109" t="s">
        <v>873</v>
      </c>
      <c r="D94" s="109">
        <v>8702</v>
      </c>
      <c r="E94" s="109">
        <v>8702</v>
      </c>
      <c r="F94" s="109">
        <v>0</v>
      </c>
      <c r="H94" s="109"/>
      <c r="I94" s="109"/>
      <c r="J94" s="115"/>
    </row>
    <row r="95" spans="1:10" x14ac:dyDescent="0.25">
      <c r="A95" s="11" t="s">
        <v>657</v>
      </c>
      <c r="B95" s="113" t="s">
        <v>796</v>
      </c>
      <c r="C95" s="109" t="s">
        <v>874</v>
      </c>
      <c r="D95" s="109">
        <v>3088.36</v>
      </c>
      <c r="E95" s="109">
        <v>0</v>
      </c>
      <c r="F95" s="109">
        <v>3088.36</v>
      </c>
      <c r="H95" s="109"/>
      <c r="I95" s="109"/>
      <c r="J95" s="115"/>
    </row>
    <row r="96" spans="1:10" x14ac:dyDescent="0.25">
      <c r="A96" s="11" t="s">
        <v>658</v>
      </c>
      <c r="B96" s="113" t="s">
        <v>797</v>
      </c>
      <c r="C96" s="109" t="s">
        <v>875</v>
      </c>
      <c r="D96" s="109">
        <v>500</v>
      </c>
      <c r="E96" s="109">
        <v>880</v>
      </c>
      <c r="F96" s="109">
        <v>-380</v>
      </c>
      <c r="H96" s="109"/>
      <c r="I96" s="109"/>
      <c r="J96" s="115"/>
    </row>
    <row r="97" spans="1:10" x14ac:dyDescent="0.25">
      <c r="A97" s="11" t="s">
        <v>659</v>
      </c>
      <c r="B97" s="113" t="s">
        <v>798</v>
      </c>
      <c r="C97" s="109" t="s">
        <v>876</v>
      </c>
      <c r="D97" s="109">
        <v>75140.08</v>
      </c>
      <c r="E97" s="109">
        <v>75140.08</v>
      </c>
      <c r="F97" s="109">
        <v>0</v>
      </c>
      <c r="H97" s="109"/>
      <c r="I97" s="109"/>
      <c r="J97" s="115"/>
    </row>
    <row r="98" spans="1:10" x14ac:dyDescent="0.25">
      <c r="A98" s="11" t="s">
        <v>663</v>
      </c>
      <c r="B98" s="113" t="s">
        <v>802</v>
      </c>
      <c r="C98" s="109" t="s">
        <v>877</v>
      </c>
      <c r="D98" s="109">
        <v>116104.27</v>
      </c>
      <c r="E98" s="109">
        <v>116104.27</v>
      </c>
      <c r="F98" s="109">
        <v>0</v>
      </c>
      <c r="H98" s="109"/>
      <c r="I98" s="109"/>
      <c r="J98" s="115"/>
    </row>
    <row r="99" spans="1:10" x14ac:dyDescent="0.25">
      <c r="A99" s="11" t="s">
        <v>654</v>
      </c>
      <c r="B99" s="113" t="s">
        <v>804</v>
      </c>
      <c r="C99" s="109" t="s">
        <v>878</v>
      </c>
      <c r="D99" s="109">
        <v>420</v>
      </c>
      <c r="E99" s="109">
        <v>104.7123287671233</v>
      </c>
      <c r="F99" s="109">
        <v>0</v>
      </c>
      <c r="H99" s="109"/>
      <c r="I99" s="109"/>
      <c r="J99" s="115"/>
    </row>
    <row r="100" spans="1:10" x14ac:dyDescent="0.25">
      <c r="A100" s="11" t="s">
        <v>667</v>
      </c>
      <c r="B100" s="113" t="s">
        <v>807</v>
      </c>
      <c r="C100" s="109" t="s">
        <v>879</v>
      </c>
      <c r="D100" s="109">
        <v>40335.339999999997</v>
      </c>
      <c r="E100" s="109">
        <v>40335.339999999997</v>
      </c>
      <c r="F100" s="109">
        <v>0</v>
      </c>
      <c r="H100" s="109"/>
      <c r="I100" s="109"/>
      <c r="J100" s="115"/>
    </row>
    <row r="101" spans="1:10" x14ac:dyDescent="0.25">
      <c r="A101" s="11" t="s">
        <v>668</v>
      </c>
      <c r="B101" s="113" t="s">
        <v>808</v>
      </c>
      <c r="C101" s="109" t="s">
        <v>880</v>
      </c>
      <c r="D101" s="109">
        <v>24960</v>
      </c>
      <c r="E101" s="109">
        <v>24960</v>
      </c>
      <c r="F101" s="109">
        <v>0</v>
      </c>
      <c r="H101" s="109"/>
      <c r="I101" s="109"/>
      <c r="J101" s="115"/>
    </row>
    <row r="102" spans="1:10" x14ac:dyDescent="0.25">
      <c r="A102" s="11" t="s">
        <v>669</v>
      </c>
      <c r="B102" s="113" t="s">
        <v>809</v>
      </c>
      <c r="C102" s="109" t="s">
        <v>881</v>
      </c>
      <c r="D102" s="109">
        <v>23040</v>
      </c>
      <c r="E102" s="109">
        <v>23040</v>
      </c>
      <c r="F102" s="109">
        <v>0</v>
      </c>
      <c r="H102" s="109"/>
      <c r="I102" s="109"/>
      <c r="J102" s="115"/>
    </row>
    <row r="103" spans="1:10" x14ac:dyDescent="0.25">
      <c r="A103" s="11" t="s">
        <v>671</v>
      </c>
      <c r="B103" s="113" t="s">
        <v>811</v>
      </c>
      <c r="C103" s="109" t="s">
        <v>882</v>
      </c>
      <c r="D103" s="109">
        <v>50400</v>
      </c>
      <c r="E103" s="109">
        <v>30518.48</v>
      </c>
      <c r="F103" s="109">
        <v>19881.52</v>
      </c>
      <c r="H103" s="109"/>
      <c r="I103" s="109"/>
      <c r="J103" s="115"/>
    </row>
    <row r="104" spans="1:10" x14ac:dyDescent="0.25">
      <c r="A104" s="11" t="s">
        <v>675</v>
      </c>
      <c r="B104" s="113" t="s">
        <v>815</v>
      </c>
      <c r="C104" s="109" t="s">
        <v>882</v>
      </c>
      <c r="D104" s="109">
        <v>52500</v>
      </c>
      <c r="E104" s="109">
        <v>52500</v>
      </c>
      <c r="F104" s="109">
        <v>0</v>
      </c>
      <c r="H104" s="109"/>
      <c r="I104" s="109"/>
      <c r="J104" s="115"/>
    </row>
    <row r="105" spans="1:10" x14ac:dyDescent="0.25">
      <c r="A105" s="11" t="s">
        <v>677</v>
      </c>
      <c r="B105" s="113" t="s">
        <v>817</v>
      </c>
      <c r="C105" s="109" t="s">
        <v>883</v>
      </c>
      <c r="D105" s="109">
        <v>13600</v>
      </c>
      <c r="E105" s="109">
        <v>13600</v>
      </c>
      <c r="F105" s="109">
        <v>0</v>
      </c>
      <c r="H105" s="109"/>
      <c r="I105" s="109"/>
      <c r="J105" s="115"/>
    </row>
    <row r="106" spans="1:10" x14ac:dyDescent="0.25">
      <c r="A106" s="11" t="s">
        <v>678</v>
      </c>
      <c r="B106" s="113" t="s">
        <v>818</v>
      </c>
      <c r="C106" s="109" t="s">
        <v>884</v>
      </c>
      <c r="D106" s="109">
        <v>0</v>
      </c>
      <c r="E106" s="109">
        <v>691.2</v>
      </c>
      <c r="F106" s="109">
        <v>-691.2</v>
      </c>
      <c r="H106" s="109"/>
      <c r="I106" s="109"/>
      <c r="J106" s="115"/>
    </row>
    <row r="107" spans="1:10" x14ac:dyDescent="0.25">
      <c r="A107" s="11" t="s">
        <v>680</v>
      </c>
      <c r="B107" s="113" t="s">
        <v>820</v>
      </c>
      <c r="C107" s="109" t="s">
        <v>885</v>
      </c>
      <c r="D107" s="109">
        <v>0</v>
      </c>
      <c r="E107" s="109">
        <v>162.13999999999999</v>
      </c>
      <c r="F107" s="109">
        <v>-162.13999999999999</v>
      </c>
      <c r="H107" s="109"/>
      <c r="I107" s="109"/>
      <c r="J107" s="115"/>
    </row>
    <row r="108" spans="1:10" x14ac:dyDescent="0.25">
      <c r="A108" s="11" t="s">
        <v>618</v>
      </c>
      <c r="B108" s="113" t="s">
        <v>821</v>
      </c>
      <c r="C108" s="109" t="s">
        <v>886</v>
      </c>
      <c r="D108" s="109">
        <v>158909.97</v>
      </c>
      <c r="E108" s="109">
        <v>158909.97</v>
      </c>
      <c r="F108" s="109">
        <v>0</v>
      </c>
      <c r="H108" s="109"/>
      <c r="I108" s="109"/>
      <c r="J108" s="115"/>
    </row>
    <row r="109" spans="1:10" x14ac:dyDescent="0.25">
      <c r="A109" s="11" t="s">
        <v>618</v>
      </c>
      <c r="B109" s="113" t="s">
        <v>822</v>
      </c>
      <c r="C109" s="109" t="s">
        <v>886</v>
      </c>
      <c r="D109" s="109">
        <v>566888.67000000004</v>
      </c>
      <c r="E109" s="109">
        <v>566888.67000000004</v>
      </c>
      <c r="F109" s="109">
        <v>0</v>
      </c>
      <c r="H109" s="109"/>
      <c r="I109" s="109"/>
      <c r="J109" s="115"/>
    </row>
    <row r="110" spans="1:10" x14ac:dyDescent="0.25">
      <c r="A110" s="11" t="s">
        <v>682</v>
      </c>
      <c r="B110" s="113" t="s">
        <v>824</v>
      </c>
      <c r="C110" s="109" t="s">
        <v>887</v>
      </c>
      <c r="D110" s="109">
        <v>41901.42</v>
      </c>
      <c r="E110" s="109">
        <v>41901.42</v>
      </c>
      <c r="F110" s="109">
        <v>0</v>
      </c>
      <c r="H110" s="109"/>
      <c r="I110" s="109"/>
      <c r="J110" s="115"/>
    </row>
    <row r="111" spans="1:10" x14ac:dyDescent="0.25">
      <c r="A111" s="11" t="s">
        <v>683</v>
      </c>
      <c r="B111" s="113" t="s">
        <v>825</v>
      </c>
      <c r="C111" s="109" t="s">
        <v>888</v>
      </c>
      <c r="D111" s="109">
        <v>131371.72</v>
      </c>
      <c r="E111" s="109">
        <v>131371.72</v>
      </c>
      <c r="F111" s="109">
        <v>0</v>
      </c>
      <c r="H111" s="109"/>
      <c r="I111" s="109"/>
      <c r="J111" s="115"/>
    </row>
    <row r="112" spans="1:10" x14ac:dyDescent="0.25">
      <c r="A112" s="11" t="s">
        <v>684</v>
      </c>
      <c r="B112" s="113" t="s">
        <v>826</v>
      </c>
      <c r="C112" s="109" t="s">
        <v>889</v>
      </c>
      <c r="D112" s="109">
        <v>45000</v>
      </c>
      <c r="E112" s="109">
        <v>16000</v>
      </c>
      <c r="F112" s="109">
        <v>29000</v>
      </c>
      <c r="H112" s="109"/>
      <c r="I112" s="109"/>
      <c r="J112" s="115"/>
    </row>
    <row r="113" spans="1:10" x14ac:dyDescent="0.25">
      <c r="A113" s="11" t="s">
        <v>685</v>
      </c>
      <c r="B113" s="113" t="s">
        <v>827</v>
      </c>
      <c r="C113" s="109" t="s">
        <v>890</v>
      </c>
      <c r="D113" s="109">
        <v>16929.2</v>
      </c>
      <c r="E113" s="109">
        <v>16929.2</v>
      </c>
      <c r="F113" s="109">
        <v>0</v>
      </c>
      <c r="H113" s="109"/>
      <c r="I113" s="109"/>
      <c r="J113" s="115"/>
    </row>
    <row r="114" spans="1:10" x14ac:dyDescent="0.25">
      <c r="A114" s="11" t="s">
        <v>686</v>
      </c>
      <c r="B114" s="113" t="s">
        <v>828</v>
      </c>
      <c r="C114" s="109" t="s">
        <v>891</v>
      </c>
      <c r="D114" s="109">
        <v>86189.59</v>
      </c>
      <c r="E114" s="109">
        <v>86189.59</v>
      </c>
      <c r="F114" s="109">
        <v>0</v>
      </c>
      <c r="H114" s="109"/>
      <c r="I114" s="109"/>
      <c r="J114" s="115"/>
    </row>
    <row r="115" spans="1:10" x14ac:dyDescent="0.25">
      <c r="A115" s="11" t="s">
        <v>687</v>
      </c>
      <c r="B115" s="113" t="s">
        <v>829</v>
      </c>
      <c r="C115" s="109" t="s">
        <v>892</v>
      </c>
      <c r="D115" s="109">
        <v>0</v>
      </c>
      <c r="E115" s="109">
        <v>0</v>
      </c>
      <c r="F115" s="109">
        <v>0</v>
      </c>
      <c r="H115" s="109"/>
      <c r="I115" s="109"/>
      <c r="J115" s="115"/>
    </row>
    <row r="116" spans="1:10" x14ac:dyDescent="0.25">
      <c r="A116" s="11" t="s">
        <v>688</v>
      </c>
      <c r="B116" s="113" t="s">
        <v>830</v>
      </c>
      <c r="C116" s="109" t="s">
        <v>893</v>
      </c>
      <c r="D116" s="109">
        <v>20000</v>
      </c>
      <c r="E116" s="109">
        <v>60752</v>
      </c>
      <c r="F116" s="109">
        <v>-40752</v>
      </c>
      <c r="H116" s="109"/>
      <c r="I116" s="109"/>
      <c r="J116" s="115"/>
    </row>
    <row r="117" spans="1:10" x14ac:dyDescent="0.25">
      <c r="A117" s="11" t="s">
        <v>613</v>
      </c>
      <c r="B117" s="113" t="s">
        <v>733</v>
      </c>
      <c r="C117" s="109">
        <v>0</v>
      </c>
      <c r="D117" s="109">
        <v>9951.6940273972614</v>
      </c>
      <c r="E117" s="109">
        <v>0</v>
      </c>
      <c r="F117" s="109">
        <v>9951.6940273972614</v>
      </c>
      <c r="H117" s="109"/>
      <c r="I117" s="109"/>
      <c r="J117" s="115"/>
    </row>
    <row r="118" spans="1:10" x14ac:dyDescent="0.25">
      <c r="A118" s="11" t="s">
        <v>613</v>
      </c>
      <c r="B118" s="113" t="s">
        <v>734</v>
      </c>
      <c r="C118" s="109">
        <v>0</v>
      </c>
      <c r="D118" s="109">
        <v>5359.7357876712331</v>
      </c>
      <c r="E118" s="109">
        <v>0</v>
      </c>
      <c r="F118" s="109">
        <v>5359.7357876712331</v>
      </c>
      <c r="H118" s="109"/>
      <c r="I118" s="109"/>
      <c r="J118" s="115"/>
    </row>
    <row r="119" spans="1:10" x14ac:dyDescent="0.25">
      <c r="A119" s="11" t="s">
        <v>612</v>
      </c>
      <c r="B119" s="113" t="s">
        <v>759</v>
      </c>
      <c r="C119" s="109">
        <v>0</v>
      </c>
      <c r="D119" s="109">
        <v>113147.99999999999</v>
      </c>
      <c r="E119" s="109">
        <v>113148</v>
      </c>
      <c r="F119" s="109">
        <v>0</v>
      </c>
      <c r="H119" s="109"/>
      <c r="I119" s="109"/>
      <c r="J119" s="115"/>
    </row>
    <row r="120" spans="1:10" x14ac:dyDescent="0.25">
      <c r="A120" s="11" t="s">
        <v>612</v>
      </c>
      <c r="B120" s="113" t="s">
        <v>760</v>
      </c>
      <c r="C120" s="109">
        <v>0</v>
      </c>
      <c r="D120" s="109">
        <v>66087.33</v>
      </c>
      <c r="E120" s="109">
        <v>66087.33</v>
      </c>
      <c r="F120" s="109">
        <v>0</v>
      </c>
      <c r="H120" s="109"/>
      <c r="I120" s="109"/>
      <c r="J120" s="115"/>
    </row>
    <row r="121" spans="1:10" x14ac:dyDescent="0.25">
      <c r="A121" s="11" t="s">
        <v>612</v>
      </c>
      <c r="B121" s="113" t="s">
        <v>761</v>
      </c>
      <c r="C121" s="109">
        <v>0</v>
      </c>
      <c r="D121" s="109">
        <v>105300</v>
      </c>
      <c r="E121" s="109">
        <v>105300</v>
      </c>
      <c r="F121" s="109">
        <v>0</v>
      </c>
      <c r="H121" s="109"/>
      <c r="I121" s="109"/>
      <c r="J121" s="115"/>
    </row>
    <row r="122" spans="1:10" x14ac:dyDescent="0.25">
      <c r="A122" s="11" t="s">
        <v>612</v>
      </c>
      <c r="B122" s="113" t="s">
        <v>762</v>
      </c>
      <c r="C122" s="109">
        <v>0</v>
      </c>
      <c r="D122" s="109">
        <v>32601.599999999995</v>
      </c>
      <c r="E122" s="109">
        <v>32601.599999999999</v>
      </c>
      <c r="F122" s="109">
        <v>0</v>
      </c>
      <c r="H122" s="109"/>
      <c r="I122" s="109"/>
      <c r="J122" s="115"/>
    </row>
    <row r="123" spans="1:10" x14ac:dyDescent="0.25">
      <c r="A123" s="11" t="s">
        <v>612</v>
      </c>
      <c r="B123" s="113" t="s">
        <v>763</v>
      </c>
      <c r="C123" s="109">
        <v>0</v>
      </c>
      <c r="D123" s="109">
        <v>93340.799999999988</v>
      </c>
      <c r="E123" s="109">
        <v>93340.800000000003</v>
      </c>
      <c r="F123" s="109">
        <v>0</v>
      </c>
      <c r="H123" s="109"/>
      <c r="I123" s="109"/>
      <c r="J123" s="115"/>
    </row>
    <row r="124" spans="1:10" x14ac:dyDescent="0.25">
      <c r="A124" s="11" t="s">
        <v>612</v>
      </c>
      <c r="B124" s="113" t="s">
        <v>764</v>
      </c>
      <c r="C124" s="109">
        <v>0</v>
      </c>
      <c r="D124" s="109">
        <v>0</v>
      </c>
      <c r="E124" s="109">
        <v>0</v>
      </c>
      <c r="F124" s="109">
        <v>0</v>
      </c>
      <c r="H124" s="109"/>
      <c r="I124" s="109"/>
      <c r="J124" s="115"/>
    </row>
    <row r="125" spans="1:10" x14ac:dyDescent="0.25">
      <c r="A125" s="11" t="s">
        <v>656</v>
      </c>
      <c r="B125" s="113" t="s">
        <v>783</v>
      </c>
      <c r="C125" s="109">
        <v>0</v>
      </c>
      <c r="D125" s="109">
        <v>243750.00000000003</v>
      </c>
      <c r="E125" s="109">
        <v>0</v>
      </c>
      <c r="F125" s="109">
        <v>243750.00000000003</v>
      </c>
      <c r="H125" s="109"/>
      <c r="I125" s="109"/>
      <c r="J125" s="115"/>
    </row>
    <row r="126" spans="1:10" x14ac:dyDescent="0.25">
      <c r="A126" s="11" t="s">
        <v>656</v>
      </c>
      <c r="B126" s="113" t="s">
        <v>784</v>
      </c>
      <c r="C126" s="109">
        <v>0</v>
      </c>
      <c r="D126" s="109">
        <v>121394.15999999997</v>
      </c>
      <c r="E126" s="109">
        <v>121394.16</v>
      </c>
      <c r="F126" s="109">
        <v>0</v>
      </c>
      <c r="H126" s="109"/>
      <c r="I126" s="109"/>
      <c r="J126" s="115"/>
    </row>
    <row r="127" spans="1:10" x14ac:dyDescent="0.25">
      <c r="A127" s="11" t="s">
        <v>656</v>
      </c>
      <c r="B127" s="113" t="s">
        <v>785</v>
      </c>
      <c r="C127" s="109">
        <v>0</v>
      </c>
      <c r="D127" s="109">
        <v>302982.01643835625</v>
      </c>
      <c r="E127" s="109">
        <v>302982.02</v>
      </c>
      <c r="F127" s="109">
        <v>-3.561643767170608E-3</v>
      </c>
      <c r="H127" s="109"/>
      <c r="I127" s="109"/>
      <c r="J127" s="115"/>
    </row>
    <row r="128" spans="1:10" x14ac:dyDescent="0.25">
      <c r="A128" s="11" t="s">
        <v>656</v>
      </c>
      <c r="B128" s="113" t="s">
        <v>786</v>
      </c>
      <c r="C128" s="109">
        <v>0</v>
      </c>
      <c r="D128" s="109">
        <v>2052892.6320547946</v>
      </c>
      <c r="E128" s="109">
        <v>2052892.63</v>
      </c>
      <c r="F128" s="109">
        <v>2.0547946915030479E-3</v>
      </c>
      <c r="H128" s="109"/>
      <c r="I128" s="109"/>
      <c r="J128" s="115"/>
    </row>
    <row r="129" spans="1:10" x14ac:dyDescent="0.25">
      <c r="A129" s="11" t="s">
        <v>656</v>
      </c>
      <c r="B129" s="113" t="s">
        <v>787</v>
      </c>
      <c r="C129" s="109">
        <v>0</v>
      </c>
      <c r="D129" s="109">
        <v>4790082.8047671234</v>
      </c>
      <c r="E129" s="109">
        <v>4790082.8</v>
      </c>
      <c r="F129" s="109">
        <v>4.7671236097812653E-3</v>
      </c>
      <c r="H129" s="109"/>
      <c r="I129" s="109"/>
      <c r="J129" s="115"/>
    </row>
    <row r="130" spans="1:10" x14ac:dyDescent="0.25">
      <c r="A130" s="11" t="s">
        <v>656</v>
      </c>
      <c r="B130" s="113" t="s">
        <v>788</v>
      </c>
      <c r="C130" s="109">
        <v>0</v>
      </c>
      <c r="D130" s="109">
        <v>156240</v>
      </c>
      <c r="E130" s="109">
        <v>156240</v>
      </c>
      <c r="F130" s="109">
        <v>0</v>
      </c>
      <c r="H130" s="109"/>
      <c r="I130" s="109"/>
      <c r="J130" s="115"/>
    </row>
    <row r="131" spans="1:10" x14ac:dyDescent="0.25">
      <c r="A131" s="11" t="s">
        <v>656</v>
      </c>
      <c r="B131" s="113" t="s">
        <v>789</v>
      </c>
      <c r="C131" s="109">
        <v>0</v>
      </c>
      <c r="D131" s="109">
        <v>8257.4449972602742</v>
      </c>
      <c r="E131" s="109">
        <v>8257.44</v>
      </c>
      <c r="F131" s="109">
        <v>4.997260273739812E-3</v>
      </c>
      <c r="H131" s="109"/>
      <c r="I131" s="109"/>
      <c r="J131" s="115"/>
    </row>
    <row r="132" spans="1:10" x14ac:dyDescent="0.25">
      <c r="A132" s="11" t="s">
        <v>656</v>
      </c>
      <c r="B132" s="113" t="s">
        <v>790</v>
      </c>
      <c r="C132" s="109">
        <v>0</v>
      </c>
      <c r="D132" s="109">
        <v>19259.371660273973</v>
      </c>
      <c r="E132" s="109">
        <v>19259.37</v>
      </c>
      <c r="F132" s="109">
        <v>1.6602739742666017E-3</v>
      </c>
      <c r="H132" s="109"/>
      <c r="I132" s="109"/>
      <c r="J132" s="115"/>
    </row>
    <row r="133" spans="1:10" x14ac:dyDescent="0.25">
      <c r="A133" s="11" t="s">
        <v>656</v>
      </c>
      <c r="B133" s="113" t="s">
        <v>791</v>
      </c>
      <c r="C133" s="109">
        <v>0</v>
      </c>
      <c r="D133" s="109">
        <v>29236.719780821917</v>
      </c>
      <c r="E133" s="109">
        <v>29236.720000000001</v>
      </c>
      <c r="F133" s="109">
        <v>-2.1917808408034034E-4</v>
      </c>
      <c r="H133" s="109"/>
      <c r="I133" s="109"/>
      <c r="J133" s="115"/>
    </row>
    <row r="134" spans="1:10" x14ac:dyDescent="0.25">
      <c r="A134" s="11" t="s">
        <v>656</v>
      </c>
      <c r="B134" s="113" t="s">
        <v>792</v>
      </c>
      <c r="C134" s="109">
        <v>0</v>
      </c>
      <c r="D134" s="109">
        <v>43215.109247945191</v>
      </c>
      <c r="E134" s="109">
        <v>43215.11</v>
      </c>
      <c r="F134" s="109">
        <v>-7.5205480970907956E-4</v>
      </c>
      <c r="H134" s="109"/>
      <c r="I134" s="109"/>
      <c r="J134" s="115"/>
    </row>
    <row r="135" spans="1:10" x14ac:dyDescent="0.25">
      <c r="A135" s="11" t="s">
        <v>656</v>
      </c>
      <c r="B135" s="113" t="s">
        <v>793</v>
      </c>
      <c r="C135" s="109">
        <v>0</v>
      </c>
      <c r="D135" s="109">
        <v>100835.24788082189</v>
      </c>
      <c r="E135" s="109">
        <v>100835.25</v>
      </c>
      <c r="F135" s="109">
        <v>-2.1191781124798581E-3</v>
      </c>
      <c r="H135" s="109"/>
      <c r="I135" s="109"/>
      <c r="J135" s="115"/>
    </row>
    <row r="136" spans="1:10" x14ac:dyDescent="0.25">
      <c r="A136" s="11" t="s">
        <v>656</v>
      </c>
      <c r="B136" s="113" t="s">
        <v>794</v>
      </c>
      <c r="C136" s="109">
        <v>0</v>
      </c>
      <c r="D136" s="109">
        <v>11134.462684931506</v>
      </c>
      <c r="E136" s="109">
        <v>11134.46</v>
      </c>
      <c r="F136" s="109">
        <v>2.6849315072468016E-3</v>
      </c>
      <c r="H136" s="109"/>
      <c r="I136" s="109"/>
      <c r="J136" s="115"/>
    </row>
    <row r="137" spans="1:10" x14ac:dyDescent="0.25">
      <c r="A137" s="11" t="s">
        <v>656</v>
      </c>
      <c r="B137" s="113" t="s">
        <v>795</v>
      </c>
      <c r="C137" s="109">
        <v>0</v>
      </c>
      <c r="D137" s="109">
        <v>37543.384615384624</v>
      </c>
      <c r="E137" s="109">
        <v>37543.379999999997</v>
      </c>
      <c r="F137" s="109">
        <v>4.6153846269589849E-3</v>
      </c>
      <c r="H137" s="109"/>
      <c r="I137" s="109"/>
      <c r="J137" s="115"/>
    </row>
    <row r="138" spans="1:10" x14ac:dyDescent="0.25">
      <c r="A138" s="11" t="s">
        <v>670</v>
      </c>
      <c r="B138" s="113" t="s">
        <v>810</v>
      </c>
      <c r="C138" s="109">
        <v>0</v>
      </c>
      <c r="D138" s="109">
        <v>0</v>
      </c>
      <c r="E138" s="109">
        <v>200000</v>
      </c>
      <c r="F138" s="109">
        <v>-200000</v>
      </c>
      <c r="H138" s="109"/>
      <c r="I138" s="109"/>
      <c r="J138" s="115"/>
    </row>
    <row r="139" spans="1:10" x14ac:dyDescent="0.25">
      <c r="A139" s="11" t="s">
        <v>689</v>
      </c>
      <c r="B139" s="113" t="s">
        <v>831</v>
      </c>
      <c r="C139" s="109">
        <v>0</v>
      </c>
      <c r="D139" s="109">
        <v>75000</v>
      </c>
      <c r="E139" s="109">
        <v>40000</v>
      </c>
      <c r="F139" s="109">
        <v>35000</v>
      </c>
      <c r="H139" s="109"/>
      <c r="I139" s="109"/>
      <c r="J139" s="115"/>
    </row>
    <row r="140" spans="1:10" x14ac:dyDescent="0.25">
      <c r="A140" s="11" t="s">
        <v>690</v>
      </c>
      <c r="B140" s="113" t="s">
        <v>832</v>
      </c>
      <c r="C140" s="109">
        <v>0</v>
      </c>
      <c r="D140" s="109">
        <v>0</v>
      </c>
      <c r="E140" s="109">
        <v>0</v>
      </c>
      <c r="F140" s="109">
        <v>0</v>
      </c>
      <c r="H140" s="109"/>
      <c r="I140" s="109"/>
      <c r="J140" s="115"/>
    </row>
    <row r="141" spans="1:10" x14ac:dyDescent="0.25">
      <c r="A141" s="11" t="s">
        <v>692</v>
      </c>
      <c r="B141" s="113" t="s">
        <v>834</v>
      </c>
      <c r="C141" s="109">
        <v>0</v>
      </c>
      <c r="D141" s="109">
        <v>116179.08</v>
      </c>
      <c r="E141" s="109">
        <v>116179.08</v>
      </c>
      <c r="F141" s="109">
        <v>0</v>
      </c>
      <c r="H141" s="109"/>
      <c r="I141" s="109"/>
      <c r="J141" s="115"/>
    </row>
    <row r="142" spans="1:10" x14ac:dyDescent="0.25">
      <c r="A142" s="11" t="s">
        <v>693</v>
      </c>
      <c r="B142" s="113" t="s">
        <v>835</v>
      </c>
      <c r="C142" s="109">
        <v>0</v>
      </c>
      <c r="D142" s="109">
        <v>172.5</v>
      </c>
      <c r="E142" s="109">
        <v>172.5</v>
      </c>
      <c r="F142" s="109">
        <v>0</v>
      </c>
      <c r="H142" s="109"/>
      <c r="I142" s="109"/>
      <c r="J142" s="115"/>
    </row>
    <row r="143" spans="1:10" x14ac:dyDescent="0.25">
      <c r="B143" s="113"/>
      <c r="C143" s="109"/>
      <c r="D143" s="109"/>
      <c r="E143" s="109"/>
      <c r="F143" s="109"/>
      <c r="H143" s="109"/>
      <c r="I143" s="109"/>
      <c r="J143" s="115"/>
    </row>
    <row r="144" spans="1:10" x14ac:dyDescent="0.25">
      <c r="B144" s="113"/>
      <c r="C144" s="109"/>
      <c r="D144" s="109"/>
      <c r="E144" s="109"/>
      <c r="F144" s="109"/>
      <c r="H144" s="109"/>
      <c r="I144" s="109"/>
      <c r="J144" s="115"/>
    </row>
    <row r="145" spans="1:10" x14ac:dyDescent="0.25">
      <c r="B145" s="113"/>
      <c r="C145" s="109"/>
      <c r="D145" s="109"/>
      <c r="E145" s="109"/>
      <c r="F145" s="109"/>
      <c r="H145" s="109"/>
      <c r="I145" s="109"/>
      <c r="J145" s="115"/>
    </row>
    <row r="146" spans="1:10" ht="26.1" customHeight="1" x14ac:dyDescent="0.3">
      <c r="A146" s="108" t="s">
        <v>562</v>
      </c>
      <c r="B146" s="108"/>
      <c r="C146" s="108"/>
      <c r="D146" s="108"/>
      <c r="E146" s="108"/>
      <c r="F146" s="108"/>
      <c r="G146" s="108"/>
      <c r="H146" s="108"/>
      <c r="I146" s="108"/>
      <c r="J146" s="108"/>
    </row>
    <row r="147" spans="1:10" x14ac:dyDescent="0.25">
      <c r="A147" t="s">
        <v>7</v>
      </c>
      <c r="B147" t="s">
        <v>75</v>
      </c>
      <c r="C147" s="109" t="s">
        <v>553</v>
      </c>
      <c r="D147" s="109" t="s">
        <v>554</v>
      </c>
      <c r="E147" s="109" t="s">
        <v>558</v>
      </c>
      <c r="G147" t="s">
        <v>840</v>
      </c>
      <c r="H147" s="109" t="s">
        <v>553</v>
      </c>
      <c r="I147" s="109" t="s">
        <v>554</v>
      </c>
      <c r="J147" s="109" t="s">
        <v>558</v>
      </c>
    </row>
    <row r="148" spans="1:10" x14ac:dyDescent="0.25">
      <c r="A148" t="s">
        <v>894</v>
      </c>
      <c r="B148" t="s">
        <v>839</v>
      </c>
      <c r="C148" s="109" t="s">
        <v>839</v>
      </c>
      <c r="D148" s="109" t="s">
        <v>839</v>
      </c>
      <c r="E148" s="109" t="s">
        <v>839</v>
      </c>
      <c r="G148" t="s">
        <v>895</v>
      </c>
      <c r="H148" s="109">
        <v>0</v>
      </c>
      <c r="I148" s="109">
        <v>0</v>
      </c>
      <c r="J148" s="109">
        <v>0</v>
      </c>
    </row>
    <row r="149" spans="1:10" x14ac:dyDescent="0.25">
      <c r="A149" t="s">
        <v>839</v>
      </c>
      <c r="B149" t="s">
        <v>839</v>
      </c>
      <c r="C149" s="109" t="s">
        <v>839</v>
      </c>
      <c r="D149" s="109" t="s">
        <v>839</v>
      </c>
      <c r="E149" s="109" t="s">
        <v>839</v>
      </c>
      <c r="G149" t="s">
        <v>839</v>
      </c>
      <c r="H149" s="109" t="s">
        <v>839</v>
      </c>
      <c r="I149" s="109" t="s">
        <v>839</v>
      </c>
      <c r="J149" s="109" t="s">
        <v>839</v>
      </c>
    </row>
    <row r="150" spans="1:10" x14ac:dyDescent="0.25">
      <c r="A150" t="s">
        <v>839</v>
      </c>
      <c r="B150" t="s">
        <v>839</v>
      </c>
      <c r="C150" s="109" t="s">
        <v>839</v>
      </c>
      <c r="D150" s="109" t="s">
        <v>839</v>
      </c>
      <c r="E150" s="109" t="s">
        <v>839</v>
      </c>
      <c r="G150" t="s">
        <v>839</v>
      </c>
      <c r="H150" s="109" t="s">
        <v>839</v>
      </c>
      <c r="I150" s="109" t="s">
        <v>839</v>
      </c>
      <c r="J150" s="109" t="s">
        <v>839</v>
      </c>
    </row>
    <row r="151" spans="1:10" ht="18.75" x14ac:dyDescent="0.3">
      <c r="A151" s="116" t="s">
        <v>896</v>
      </c>
      <c r="B151" t="s">
        <v>839</v>
      </c>
      <c r="C151" s="109" t="s">
        <v>839</v>
      </c>
      <c r="D151" s="109" t="s">
        <v>839</v>
      </c>
      <c r="E151" s="109" t="s">
        <v>839</v>
      </c>
      <c r="G151" t="s">
        <v>839</v>
      </c>
      <c r="H151" s="109" t="s">
        <v>839</v>
      </c>
      <c r="I151" s="109" t="s">
        <v>839</v>
      </c>
      <c r="J151" s="109" t="s">
        <v>839</v>
      </c>
    </row>
    <row r="152" spans="1:10" x14ac:dyDescent="0.25">
      <c r="A152" t="s">
        <v>7</v>
      </c>
      <c r="B152" t="s">
        <v>75</v>
      </c>
      <c r="C152" s="109" t="s">
        <v>553</v>
      </c>
      <c r="D152" s="109" t="s">
        <v>554</v>
      </c>
      <c r="E152" s="109" t="s">
        <v>558</v>
      </c>
      <c r="G152" t="s">
        <v>897</v>
      </c>
      <c r="H152" s="109" t="s">
        <v>553</v>
      </c>
      <c r="I152" s="109" t="s">
        <v>554</v>
      </c>
      <c r="J152" s="109" t="s">
        <v>558</v>
      </c>
    </row>
    <row r="153" spans="1:10" x14ac:dyDescent="0.25">
      <c r="A153" t="s">
        <v>591</v>
      </c>
      <c r="B153" t="s">
        <v>698</v>
      </c>
      <c r="C153" s="109">
        <v>5687336</v>
      </c>
      <c r="D153" s="109">
        <v>5687336</v>
      </c>
      <c r="E153" s="109">
        <v>0</v>
      </c>
      <c r="G153" t="s">
        <v>898</v>
      </c>
      <c r="H153" s="109">
        <v>7659712.8425893756</v>
      </c>
      <c r="I153" s="109">
        <v>7658815.8399999999</v>
      </c>
      <c r="J153" s="109">
        <v>897.00258937513718</v>
      </c>
    </row>
    <row r="154" spans="1:10" x14ac:dyDescent="0.25">
      <c r="A154" t="s">
        <v>598</v>
      </c>
      <c r="B154" t="s">
        <v>705</v>
      </c>
      <c r="C154" s="109">
        <v>302217</v>
      </c>
      <c r="D154" s="109">
        <v>302217</v>
      </c>
      <c r="E154" s="109">
        <v>0</v>
      </c>
      <c r="H154" s="109"/>
      <c r="I154" s="109"/>
      <c r="J154" s="109"/>
    </row>
    <row r="155" spans="1:10" x14ac:dyDescent="0.25">
      <c r="A155" t="s">
        <v>599</v>
      </c>
      <c r="B155" t="s">
        <v>706</v>
      </c>
      <c r="C155" s="109">
        <v>3630.0000000000005</v>
      </c>
      <c r="D155" s="109">
        <v>3630</v>
      </c>
      <c r="E155" s="109">
        <v>0</v>
      </c>
      <c r="H155" s="109"/>
      <c r="I155" s="109"/>
      <c r="J155" s="109"/>
    </row>
    <row r="156" spans="1:10" x14ac:dyDescent="0.25">
      <c r="A156" t="s">
        <v>604</v>
      </c>
      <c r="B156" t="s">
        <v>711</v>
      </c>
      <c r="C156" s="109">
        <v>9600</v>
      </c>
      <c r="D156" s="109">
        <v>9600</v>
      </c>
      <c r="E156" s="109">
        <v>0</v>
      </c>
      <c r="H156" s="109"/>
      <c r="I156" s="109"/>
      <c r="J156" s="109"/>
    </row>
    <row r="157" spans="1:10" x14ac:dyDescent="0.25">
      <c r="A157" t="s">
        <v>605</v>
      </c>
      <c r="B157" t="s">
        <v>712</v>
      </c>
      <c r="C157" s="109">
        <v>15000</v>
      </c>
      <c r="D157" s="109">
        <v>15000</v>
      </c>
      <c r="E157" s="109">
        <v>0</v>
      </c>
      <c r="H157" s="109"/>
      <c r="I157" s="109"/>
      <c r="J157" s="109"/>
    </row>
    <row r="158" spans="1:10" x14ac:dyDescent="0.25">
      <c r="A158" t="s">
        <v>608</v>
      </c>
      <c r="B158" t="s">
        <v>715</v>
      </c>
      <c r="C158" s="109">
        <v>31886.842589375137</v>
      </c>
      <c r="D158" s="109">
        <v>31886.84</v>
      </c>
      <c r="E158" s="109">
        <v>2.5893751371768303E-3</v>
      </c>
      <c r="H158" s="109"/>
      <c r="I158" s="109"/>
      <c r="J158" s="109"/>
    </row>
    <row r="159" spans="1:10" x14ac:dyDescent="0.25">
      <c r="A159" t="s">
        <v>609</v>
      </c>
      <c r="B159" t="s">
        <v>716</v>
      </c>
      <c r="C159" s="109">
        <v>497</v>
      </c>
      <c r="D159" s="109">
        <v>0</v>
      </c>
      <c r="E159" s="109">
        <v>497</v>
      </c>
      <c r="H159" s="109"/>
      <c r="I159" s="109"/>
      <c r="J159" s="109"/>
    </row>
    <row r="160" spans="1:10" x14ac:dyDescent="0.25">
      <c r="A160" t="s">
        <v>610</v>
      </c>
      <c r="B160" t="s">
        <v>717</v>
      </c>
      <c r="C160" s="109">
        <v>0</v>
      </c>
      <c r="D160" s="109">
        <v>0</v>
      </c>
      <c r="E160" s="109">
        <v>0</v>
      </c>
      <c r="H160" s="109"/>
      <c r="I160" s="109"/>
      <c r="J160" s="109"/>
    </row>
    <row r="161" spans="1:10" x14ac:dyDescent="0.25">
      <c r="A161" t="s">
        <v>614</v>
      </c>
      <c r="B161" t="s">
        <v>722</v>
      </c>
      <c r="C161" s="109">
        <v>973271.20000000007</v>
      </c>
      <c r="D161" s="109">
        <v>973271.2</v>
      </c>
      <c r="E161" s="109">
        <v>0</v>
      </c>
      <c r="H161" s="109"/>
      <c r="I161" s="109"/>
      <c r="J161" s="109"/>
    </row>
    <row r="162" spans="1:10" x14ac:dyDescent="0.25">
      <c r="A162" t="s">
        <v>635</v>
      </c>
      <c r="B162" t="s">
        <v>748</v>
      </c>
      <c r="C162" s="109">
        <v>24000</v>
      </c>
      <c r="D162" s="109">
        <v>24000</v>
      </c>
      <c r="E162" s="109">
        <v>0</v>
      </c>
      <c r="H162" s="109"/>
      <c r="I162" s="109"/>
      <c r="J162" s="109"/>
    </row>
    <row r="163" spans="1:10" x14ac:dyDescent="0.25">
      <c r="A163" t="s">
        <v>635</v>
      </c>
      <c r="B163" t="s">
        <v>749</v>
      </c>
      <c r="C163" s="109">
        <v>2000</v>
      </c>
      <c r="D163" s="109">
        <v>2000</v>
      </c>
      <c r="E163" s="109">
        <v>0</v>
      </c>
      <c r="H163" s="109"/>
      <c r="I163" s="109"/>
      <c r="J163" s="109"/>
    </row>
    <row r="164" spans="1:10" x14ac:dyDescent="0.25">
      <c r="A164" t="s">
        <v>637</v>
      </c>
      <c r="B164" t="s">
        <v>751</v>
      </c>
      <c r="C164" s="109">
        <v>3024</v>
      </c>
      <c r="D164" s="109">
        <v>3024</v>
      </c>
      <c r="E164" s="109">
        <v>0</v>
      </c>
      <c r="H164" s="109"/>
      <c r="I164" s="109"/>
      <c r="J164" s="109"/>
    </row>
    <row r="165" spans="1:10" x14ac:dyDescent="0.25">
      <c r="A165" t="s">
        <v>638</v>
      </c>
      <c r="B165" t="s">
        <v>752</v>
      </c>
      <c r="C165" s="109">
        <v>13999.999999999998</v>
      </c>
      <c r="D165" s="109">
        <v>14000</v>
      </c>
      <c r="E165" s="109">
        <v>0</v>
      </c>
      <c r="H165" s="109"/>
      <c r="I165" s="109"/>
      <c r="J165" s="109"/>
    </row>
    <row r="166" spans="1:10" x14ac:dyDescent="0.25">
      <c r="A166" t="s">
        <v>640</v>
      </c>
      <c r="B166" t="s">
        <v>755</v>
      </c>
      <c r="C166" s="109">
        <v>0</v>
      </c>
      <c r="D166" s="109">
        <v>0</v>
      </c>
      <c r="E166" s="109">
        <v>0</v>
      </c>
      <c r="H166" s="109"/>
      <c r="I166" s="109"/>
      <c r="J166" s="109"/>
    </row>
    <row r="167" spans="1:10" x14ac:dyDescent="0.25">
      <c r="A167" t="s">
        <v>618</v>
      </c>
      <c r="B167" t="s">
        <v>769</v>
      </c>
      <c r="C167" s="109">
        <v>40000</v>
      </c>
      <c r="D167" s="109">
        <v>40000</v>
      </c>
      <c r="E167" s="109">
        <v>0</v>
      </c>
      <c r="H167" s="109"/>
      <c r="I167" s="109"/>
      <c r="J167" s="109"/>
    </row>
    <row r="168" spans="1:10" x14ac:dyDescent="0.25">
      <c r="A168" t="s">
        <v>649</v>
      </c>
      <c r="B168" t="s">
        <v>774</v>
      </c>
      <c r="C168" s="109">
        <v>296008</v>
      </c>
      <c r="D168" s="109">
        <v>296008</v>
      </c>
      <c r="E168" s="109">
        <v>0</v>
      </c>
      <c r="H168" s="109"/>
      <c r="I168" s="109"/>
      <c r="J168" s="109"/>
    </row>
    <row r="169" spans="1:10" x14ac:dyDescent="0.25">
      <c r="A169" t="s">
        <v>650</v>
      </c>
      <c r="B169" t="s">
        <v>777</v>
      </c>
      <c r="C169" s="109">
        <v>20620.800000000003</v>
      </c>
      <c r="D169" s="109">
        <v>20620.8</v>
      </c>
      <c r="E169" s="109">
        <v>0</v>
      </c>
      <c r="H169" s="109"/>
      <c r="I169" s="109"/>
      <c r="J169" s="109"/>
    </row>
    <row r="170" spans="1:10" x14ac:dyDescent="0.25">
      <c r="A170" t="s">
        <v>653</v>
      </c>
      <c r="B170" t="s">
        <v>780</v>
      </c>
      <c r="C170" s="109">
        <v>18000</v>
      </c>
      <c r="D170" s="109">
        <v>18000</v>
      </c>
      <c r="E170" s="109">
        <v>0</v>
      </c>
      <c r="H170" s="109"/>
      <c r="I170" s="109"/>
      <c r="J170" s="109"/>
    </row>
    <row r="171" spans="1:10" x14ac:dyDescent="0.25">
      <c r="A171" t="s">
        <v>664</v>
      </c>
      <c r="B171" t="s">
        <v>803</v>
      </c>
      <c r="C171" s="109">
        <v>99999.999999999985</v>
      </c>
      <c r="D171" s="109">
        <v>100000</v>
      </c>
      <c r="E171" s="109">
        <v>0</v>
      </c>
      <c r="H171" s="109"/>
      <c r="I171" s="109"/>
      <c r="J171" s="109"/>
    </row>
    <row r="172" spans="1:10" x14ac:dyDescent="0.25">
      <c r="A172" t="s">
        <v>665</v>
      </c>
      <c r="B172" t="s">
        <v>805</v>
      </c>
      <c r="C172" s="109">
        <v>11550</v>
      </c>
      <c r="D172" s="109">
        <v>11550</v>
      </c>
      <c r="E172" s="109">
        <v>0</v>
      </c>
      <c r="H172" s="109"/>
      <c r="I172" s="109"/>
      <c r="J172" s="109"/>
    </row>
    <row r="173" spans="1:10" x14ac:dyDescent="0.25">
      <c r="A173" t="s">
        <v>672</v>
      </c>
      <c r="B173" t="s">
        <v>812</v>
      </c>
      <c r="C173" s="109">
        <v>42000</v>
      </c>
      <c r="D173" s="109">
        <v>42000</v>
      </c>
      <c r="E173" s="109">
        <v>0</v>
      </c>
      <c r="H173" s="109"/>
      <c r="I173" s="109"/>
      <c r="J173" s="109"/>
    </row>
    <row r="174" spans="1:10" x14ac:dyDescent="0.25">
      <c r="A174" t="s">
        <v>673</v>
      </c>
      <c r="B174" t="s">
        <v>813</v>
      </c>
      <c r="C174" s="109">
        <v>27999.999999999996</v>
      </c>
      <c r="D174" s="109">
        <v>28000</v>
      </c>
      <c r="E174" s="109">
        <v>0</v>
      </c>
      <c r="H174" s="109"/>
      <c r="I174" s="109"/>
      <c r="J174" s="109"/>
    </row>
    <row r="175" spans="1:10" x14ac:dyDescent="0.25">
      <c r="A175" t="s">
        <v>676</v>
      </c>
      <c r="B175" t="s">
        <v>816</v>
      </c>
      <c r="C175" s="109">
        <v>7200</v>
      </c>
      <c r="D175" s="109">
        <v>7200</v>
      </c>
      <c r="E175" s="109">
        <v>0</v>
      </c>
      <c r="H175" s="109"/>
      <c r="I175" s="109"/>
      <c r="J175" s="109"/>
    </row>
    <row r="176" spans="1:10" x14ac:dyDescent="0.25">
      <c r="A176" t="s">
        <v>681</v>
      </c>
      <c r="B176" t="s">
        <v>823</v>
      </c>
      <c r="C176" s="109">
        <v>29472</v>
      </c>
      <c r="D176" s="109">
        <v>29472</v>
      </c>
      <c r="E176" s="109">
        <v>0</v>
      </c>
      <c r="H176" s="109"/>
      <c r="I176" s="109"/>
      <c r="J176" s="109"/>
    </row>
    <row r="177" spans="1:10" x14ac:dyDescent="0.25">
      <c r="A177" t="s">
        <v>691</v>
      </c>
      <c r="B177" t="s">
        <v>833</v>
      </c>
      <c r="C177" s="109">
        <v>400</v>
      </c>
      <c r="D177" s="109">
        <v>0</v>
      </c>
      <c r="E177" s="109">
        <v>400</v>
      </c>
      <c r="H177" s="109"/>
      <c r="I177" s="109"/>
      <c r="J177" s="109"/>
    </row>
    <row r="178" spans="1:10" x14ac:dyDescent="0.25">
      <c r="A178"/>
      <c r="B178"/>
      <c r="C178" s="109"/>
      <c r="D178" s="109"/>
      <c r="E178" s="109"/>
      <c r="H178" s="109"/>
      <c r="I178" s="109"/>
      <c r="J178" s="109"/>
    </row>
    <row r="179" spans="1:10" ht="26.1" customHeight="1" x14ac:dyDescent="0.3">
      <c r="A179" s="108" t="s">
        <v>563</v>
      </c>
      <c r="B179" s="108"/>
      <c r="C179" s="108"/>
      <c r="D179" s="108"/>
      <c r="E179" s="108"/>
      <c r="F179" s="108"/>
      <c r="G179" s="108"/>
      <c r="H179" s="108"/>
      <c r="I179" s="108"/>
      <c r="J179" s="108"/>
    </row>
    <row r="180" spans="1:10" x14ac:dyDescent="0.25">
      <c r="A180" t="s">
        <v>7</v>
      </c>
      <c r="B180" t="s">
        <v>75</v>
      </c>
      <c r="C180" s="109" t="s">
        <v>553</v>
      </c>
      <c r="D180" s="109" t="s">
        <v>554</v>
      </c>
      <c r="E180" s="109" t="s">
        <v>558</v>
      </c>
      <c r="G180" t="s">
        <v>840</v>
      </c>
      <c r="H180" s="109" t="s">
        <v>553</v>
      </c>
      <c r="I180" s="109" t="s">
        <v>554</v>
      </c>
      <c r="J180" s="109" t="s">
        <v>558</v>
      </c>
    </row>
    <row r="181" spans="1:10" x14ac:dyDescent="0.25">
      <c r="A181" t="s">
        <v>899</v>
      </c>
      <c r="B181" t="s">
        <v>839</v>
      </c>
      <c r="C181" s="109" t="s">
        <v>839</v>
      </c>
      <c r="D181" s="109" t="s">
        <v>839</v>
      </c>
      <c r="E181" s="109" t="s">
        <v>839</v>
      </c>
      <c r="G181" t="s">
        <v>895</v>
      </c>
      <c r="H181" s="109">
        <v>0</v>
      </c>
      <c r="I181" s="109">
        <v>0</v>
      </c>
      <c r="J181" s="109">
        <v>0</v>
      </c>
    </row>
    <row r="182" spans="1:10" x14ac:dyDescent="0.25">
      <c r="A182" t="s">
        <v>839</v>
      </c>
      <c r="B182" t="s">
        <v>839</v>
      </c>
      <c r="C182" s="109" t="s">
        <v>839</v>
      </c>
      <c r="D182" s="109" t="s">
        <v>839</v>
      </c>
      <c r="E182" s="109" t="s">
        <v>839</v>
      </c>
      <c r="G182" t="s">
        <v>839</v>
      </c>
      <c r="H182" s="109" t="s">
        <v>839</v>
      </c>
      <c r="I182" s="109" t="s">
        <v>839</v>
      </c>
      <c r="J182" s="109" t="s">
        <v>839</v>
      </c>
    </row>
    <row r="183" spans="1:10" x14ac:dyDescent="0.25">
      <c r="A183" t="s">
        <v>839</v>
      </c>
      <c r="B183" t="s">
        <v>839</v>
      </c>
      <c r="C183" s="109" t="s">
        <v>839</v>
      </c>
      <c r="D183" s="109" t="s">
        <v>839</v>
      </c>
      <c r="E183" s="109" t="s">
        <v>839</v>
      </c>
      <c r="G183" t="s">
        <v>839</v>
      </c>
      <c r="H183" s="109" t="s">
        <v>839</v>
      </c>
      <c r="I183" s="109" t="s">
        <v>839</v>
      </c>
      <c r="J183" s="109" t="s">
        <v>839</v>
      </c>
    </row>
    <row r="184" spans="1:10" ht="18.75" x14ac:dyDescent="0.3">
      <c r="A184" s="116" t="s">
        <v>900</v>
      </c>
      <c r="B184" t="s">
        <v>839</v>
      </c>
      <c r="C184" s="109" t="s">
        <v>839</v>
      </c>
      <c r="D184" s="109" t="s">
        <v>839</v>
      </c>
      <c r="E184" s="109" t="s">
        <v>839</v>
      </c>
      <c r="G184" t="s">
        <v>839</v>
      </c>
      <c r="H184" s="109" t="s">
        <v>839</v>
      </c>
      <c r="I184" s="109" t="s">
        <v>839</v>
      </c>
      <c r="J184" s="109" t="s">
        <v>839</v>
      </c>
    </row>
    <row r="185" spans="1:10" x14ac:dyDescent="0.25">
      <c r="A185" t="s">
        <v>7</v>
      </c>
      <c r="B185" t="s">
        <v>75</v>
      </c>
      <c r="C185" s="109" t="s">
        <v>553</v>
      </c>
      <c r="D185" s="109" t="s">
        <v>554</v>
      </c>
      <c r="E185" s="109" t="s">
        <v>558</v>
      </c>
      <c r="G185" t="s">
        <v>897</v>
      </c>
      <c r="H185" s="109" t="s">
        <v>553</v>
      </c>
      <c r="I185" s="109" t="s">
        <v>554</v>
      </c>
      <c r="J185" s="109" t="s">
        <v>558</v>
      </c>
    </row>
    <row r="186" spans="1:10" x14ac:dyDescent="0.25">
      <c r="A186" t="s">
        <v>616</v>
      </c>
      <c r="B186" t="s">
        <v>725</v>
      </c>
      <c r="C186" s="109">
        <v>99999.999999999985</v>
      </c>
      <c r="D186" s="109">
        <v>100000</v>
      </c>
      <c r="E186" s="109">
        <v>0</v>
      </c>
      <c r="G186" t="s">
        <v>901</v>
      </c>
      <c r="H186" s="109">
        <v>458748.67</v>
      </c>
      <c r="I186" s="109">
        <v>458748.67</v>
      </c>
      <c r="J186" s="109">
        <v>0</v>
      </c>
    </row>
    <row r="187" spans="1:10" x14ac:dyDescent="0.25">
      <c r="A187" t="s">
        <v>627</v>
      </c>
      <c r="B187" t="s">
        <v>740</v>
      </c>
      <c r="C187" s="109">
        <v>7830</v>
      </c>
      <c r="D187" s="109">
        <v>7830</v>
      </c>
      <c r="E187" s="109">
        <v>0</v>
      </c>
      <c r="H187" s="109"/>
      <c r="I187" s="109"/>
      <c r="J187" s="109"/>
    </row>
    <row r="188" spans="1:10" x14ac:dyDescent="0.25">
      <c r="A188" t="s">
        <v>636</v>
      </c>
      <c r="B188" t="s">
        <v>750</v>
      </c>
      <c r="C188" s="109">
        <v>875</v>
      </c>
      <c r="D188" s="109">
        <v>875</v>
      </c>
      <c r="E188" s="109">
        <v>0</v>
      </c>
      <c r="H188" s="109"/>
      <c r="I188" s="109"/>
      <c r="J188" s="109"/>
    </row>
    <row r="189" spans="1:10" x14ac:dyDescent="0.25">
      <c r="A189" t="s">
        <v>651</v>
      </c>
      <c r="B189" t="s">
        <v>778</v>
      </c>
      <c r="C189" s="109">
        <v>10000</v>
      </c>
      <c r="D189" s="109">
        <v>10000</v>
      </c>
      <c r="E189" s="109">
        <v>0</v>
      </c>
      <c r="H189" s="109"/>
      <c r="I189" s="109"/>
      <c r="J189" s="109"/>
    </row>
    <row r="190" spans="1:10" x14ac:dyDescent="0.25">
      <c r="A190" t="s">
        <v>660</v>
      </c>
      <c r="B190" t="s">
        <v>799</v>
      </c>
      <c r="C190" s="109">
        <v>1377</v>
      </c>
      <c r="D190" s="109">
        <v>1377</v>
      </c>
      <c r="E190" s="109">
        <v>0</v>
      </c>
      <c r="H190" s="109"/>
      <c r="I190" s="109"/>
      <c r="J190" s="109"/>
    </row>
    <row r="191" spans="1:10" x14ac:dyDescent="0.25">
      <c r="A191" t="s">
        <v>661</v>
      </c>
      <c r="B191" t="s">
        <v>800</v>
      </c>
      <c r="C191" s="109">
        <v>80000</v>
      </c>
      <c r="D191" s="109">
        <v>80000</v>
      </c>
      <c r="E191" s="109">
        <v>0</v>
      </c>
      <c r="H191" s="109"/>
      <c r="I191" s="109"/>
      <c r="J191" s="109"/>
    </row>
    <row r="192" spans="1:10" x14ac:dyDescent="0.25">
      <c r="A192" t="s">
        <v>662</v>
      </c>
      <c r="B192" t="s">
        <v>801</v>
      </c>
      <c r="C192" s="109">
        <v>2000</v>
      </c>
      <c r="D192" s="109">
        <v>2000</v>
      </c>
      <c r="E192" s="109">
        <v>0</v>
      </c>
      <c r="H192" s="109"/>
      <c r="I192" s="109"/>
      <c r="J192" s="109"/>
    </row>
    <row r="193" spans="1:10" x14ac:dyDescent="0.25">
      <c r="A193" t="s">
        <v>666</v>
      </c>
      <c r="B193" t="s">
        <v>806</v>
      </c>
      <c r="C193" s="109">
        <v>50000</v>
      </c>
      <c r="D193" s="109">
        <v>50000</v>
      </c>
      <c r="E193" s="109">
        <v>0</v>
      </c>
      <c r="H193" s="109"/>
      <c r="I193" s="109"/>
      <c r="J193" s="109"/>
    </row>
    <row r="194" spans="1:10" x14ac:dyDescent="0.25">
      <c r="A194" t="s">
        <v>674</v>
      </c>
      <c r="B194" t="s">
        <v>814</v>
      </c>
      <c r="C194" s="109">
        <v>186666.67</v>
      </c>
      <c r="D194" s="109">
        <v>186666.67</v>
      </c>
      <c r="E194" s="109">
        <v>0</v>
      </c>
      <c r="H194" s="109"/>
      <c r="I194" s="109"/>
      <c r="J194" s="109"/>
    </row>
    <row r="195" spans="1:10" x14ac:dyDescent="0.25">
      <c r="A195" t="s">
        <v>679</v>
      </c>
      <c r="B195" t="s">
        <v>819</v>
      </c>
      <c r="C195" s="109">
        <v>20000</v>
      </c>
      <c r="D195" s="109">
        <v>20000</v>
      </c>
      <c r="E195" s="109">
        <v>0</v>
      </c>
      <c r="H195" s="109"/>
      <c r="I195" s="109"/>
      <c r="J195" s="109"/>
    </row>
    <row r="196" spans="1:10" x14ac:dyDescent="0.25">
      <c r="A196"/>
      <c r="B196"/>
      <c r="C196" s="109"/>
      <c r="D196" s="109"/>
      <c r="E196" s="109"/>
      <c r="H196" s="109"/>
      <c r="I196" s="109"/>
      <c r="J196" s="109"/>
    </row>
    <row r="197" spans="1:10" x14ac:dyDescent="0.25">
      <c r="A197"/>
      <c r="B197"/>
      <c r="C197" s="109"/>
      <c r="D197" s="109"/>
      <c r="E197" s="109"/>
      <c r="H197" s="109"/>
      <c r="I197" s="109"/>
      <c r="J197" s="109"/>
    </row>
    <row r="198" spans="1:10" x14ac:dyDescent="0.25">
      <c r="A198"/>
      <c r="B198"/>
      <c r="C198" s="109"/>
      <c r="D198" s="109"/>
      <c r="E198" s="109"/>
      <c r="H198" s="109"/>
      <c r="I198" s="109"/>
      <c r="J198" s="109"/>
    </row>
    <row r="199" spans="1:10" x14ac:dyDescent="0.25">
      <c r="A199"/>
      <c r="B199"/>
      <c r="C199" s="109"/>
      <c r="D199" s="109"/>
      <c r="E199" s="109"/>
      <c r="H199" s="109"/>
      <c r="I199" s="109"/>
      <c r="J199" s="109"/>
    </row>
    <row r="200" spans="1:10" x14ac:dyDescent="0.25">
      <c r="A200"/>
      <c r="B200"/>
      <c r="C200" s="109"/>
      <c r="D200" s="109"/>
      <c r="E200" s="109"/>
      <c r="H200" s="109"/>
      <c r="I200" s="109"/>
      <c r="J200" s="109"/>
    </row>
    <row r="201" spans="1:10" x14ac:dyDescent="0.25">
      <c r="A201"/>
      <c r="B201"/>
      <c r="C201" s="109"/>
      <c r="D201" s="109"/>
      <c r="E201" s="109"/>
      <c r="H201" s="109"/>
      <c r="I201" s="109"/>
      <c r="J201" s="109"/>
    </row>
    <row r="202" spans="1:10" x14ac:dyDescent="0.25">
      <c r="A202"/>
      <c r="B202"/>
      <c r="C202" s="109"/>
      <c r="D202" s="109"/>
      <c r="E202" s="109"/>
      <c r="H202" s="109"/>
      <c r="I202" s="109"/>
      <c r="J202" s="109"/>
    </row>
    <row r="203" spans="1:10" x14ac:dyDescent="0.25">
      <c r="A203"/>
      <c r="B203"/>
      <c r="C203" s="109"/>
      <c r="D203" s="109"/>
      <c r="E203" s="109"/>
      <c r="H203" s="109"/>
      <c r="I203" s="109"/>
      <c r="J203" s="109"/>
    </row>
    <row r="204" spans="1:10" x14ac:dyDescent="0.25">
      <c r="A204"/>
      <c r="B204"/>
      <c r="C204" s="109"/>
      <c r="D204" s="109"/>
      <c r="E204" s="109"/>
      <c r="H204" s="109"/>
      <c r="I204" s="109"/>
      <c r="J204" s="109"/>
    </row>
    <row r="205" spans="1:10" x14ac:dyDescent="0.25">
      <c r="A205"/>
      <c r="B205"/>
      <c r="C205" s="109"/>
      <c r="D205" s="109"/>
      <c r="E205" s="109"/>
      <c r="H205" s="109"/>
      <c r="I205" s="109"/>
      <c r="J205" s="109"/>
    </row>
    <row r="206" spans="1:10" x14ac:dyDescent="0.25">
      <c r="A206"/>
      <c r="B206"/>
      <c r="C206" s="109"/>
      <c r="D206" s="109"/>
      <c r="E206" s="109"/>
      <c r="H206" s="109"/>
      <c r="I206" s="109"/>
      <c r="J206" s="109"/>
    </row>
    <row r="207" spans="1:10" x14ac:dyDescent="0.25">
      <c r="A207"/>
      <c r="B207"/>
      <c r="C207" s="109"/>
      <c r="D207" s="109"/>
      <c r="E207" s="109"/>
      <c r="H207" s="109"/>
      <c r="I207" s="109"/>
      <c r="J207" s="109"/>
    </row>
    <row r="208" spans="1:10" x14ac:dyDescent="0.25">
      <c r="A208"/>
      <c r="B208"/>
      <c r="C208" s="109"/>
      <c r="D208" s="109"/>
      <c r="E208" s="109"/>
      <c r="H208" s="109"/>
      <c r="I208" s="109"/>
      <c r="J208" s="109"/>
    </row>
    <row r="209" spans="1:10" x14ac:dyDescent="0.25">
      <c r="A209"/>
      <c r="B209"/>
      <c r="C209" s="109"/>
      <c r="D209" s="109"/>
      <c r="E209" s="109"/>
      <c r="H209" s="109"/>
      <c r="I209" s="109"/>
      <c r="J209" s="109"/>
    </row>
    <row r="210" spans="1:10" x14ac:dyDescent="0.25">
      <c r="A210"/>
      <c r="B210"/>
      <c r="C210" s="109"/>
      <c r="D210" s="109"/>
      <c r="E210" s="109"/>
      <c r="H210" s="109"/>
      <c r="I210" s="109"/>
      <c r="J210" s="109"/>
    </row>
    <row r="211" spans="1:10" x14ac:dyDescent="0.25">
      <c r="A211"/>
      <c r="B211"/>
      <c r="C211" s="109"/>
      <c r="D211" s="109"/>
      <c r="E211" s="109"/>
      <c r="H211" s="109"/>
      <c r="I211" s="109"/>
      <c r="J211" s="109"/>
    </row>
    <row r="212" spans="1:10" x14ac:dyDescent="0.25">
      <c r="A212"/>
      <c r="B212"/>
      <c r="C212" s="109"/>
      <c r="D212" s="109"/>
      <c r="E212" s="109"/>
      <c r="H212" s="109"/>
      <c r="I212" s="109"/>
      <c r="J212" s="109"/>
    </row>
    <row r="213" spans="1:10" x14ac:dyDescent="0.25">
      <c r="A213"/>
      <c r="B213"/>
      <c r="C213" s="109"/>
      <c r="D213" s="109"/>
      <c r="E213" s="109"/>
      <c r="H213" s="109"/>
      <c r="I213" s="109"/>
      <c r="J213" s="109"/>
    </row>
    <row r="214" spans="1:10" x14ac:dyDescent="0.25">
      <c r="A214"/>
      <c r="B214"/>
      <c r="C214" s="109"/>
      <c r="D214" s="109"/>
      <c r="E214" s="109"/>
      <c r="H214" s="109"/>
      <c r="I214" s="109"/>
      <c r="J214" s="109"/>
    </row>
    <row r="215" spans="1:10" x14ac:dyDescent="0.25">
      <c r="A215"/>
      <c r="B215"/>
      <c r="C215" s="109"/>
      <c r="D215" s="109"/>
      <c r="E215" s="109"/>
      <c r="H215" s="109"/>
      <c r="I215" s="109"/>
      <c r="J215" s="109"/>
    </row>
    <row r="216" spans="1:10" x14ac:dyDescent="0.25">
      <c r="A216"/>
      <c r="B216"/>
      <c r="C216" s="109"/>
      <c r="D216" s="109"/>
      <c r="E216" s="109"/>
      <c r="H216" s="109"/>
      <c r="I216" s="109"/>
      <c r="J216" s="109"/>
    </row>
    <row r="217" spans="1:10" x14ac:dyDescent="0.25">
      <c r="A217"/>
      <c r="B217"/>
      <c r="C217" s="109"/>
      <c r="D217" s="109"/>
      <c r="E217" s="109"/>
      <c r="H217" s="109"/>
      <c r="I217" s="109"/>
      <c r="J217" s="109"/>
    </row>
    <row r="218" spans="1:10" x14ac:dyDescent="0.25">
      <c r="A218"/>
      <c r="B218"/>
      <c r="C218" s="109"/>
      <c r="D218" s="109"/>
      <c r="E218" s="109"/>
      <c r="H218" s="109"/>
      <c r="I218" s="109"/>
      <c r="J218" s="109"/>
    </row>
    <row r="219" spans="1:10" x14ac:dyDescent="0.25">
      <c r="A219"/>
      <c r="B219"/>
      <c r="C219" s="109"/>
      <c r="D219" s="109"/>
      <c r="E219" s="109"/>
      <c r="H219" s="109"/>
      <c r="I219" s="109"/>
      <c r="J219" s="109"/>
    </row>
    <row r="220" spans="1:10" x14ac:dyDescent="0.25">
      <c r="A220"/>
      <c r="B220"/>
      <c r="C220" s="109"/>
      <c r="D220" s="109"/>
      <c r="E220" s="109"/>
      <c r="H220" s="109"/>
      <c r="I220" s="109"/>
      <c r="J220" s="109"/>
    </row>
    <row r="221" spans="1:10" x14ac:dyDescent="0.25">
      <c r="A221"/>
      <c r="B221"/>
      <c r="C221" s="109"/>
      <c r="D221" s="109"/>
      <c r="E221" s="109"/>
      <c r="H221" s="109"/>
      <c r="I221" s="109"/>
      <c r="J221" s="109"/>
    </row>
    <row r="222" spans="1:10" x14ac:dyDescent="0.25">
      <c r="A222"/>
      <c r="B222"/>
      <c r="C222" s="109"/>
      <c r="D222" s="109"/>
      <c r="E222" s="109"/>
      <c r="H222" s="109"/>
      <c r="I222" s="109"/>
      <c r="J222" s="109"/>
    </row>
    <row r="223" spans="1:10" x14ac:dyDescent="0.25">
      <c r="A223"/>
      <c r="B223"/>
      <c r="C223" s="109"/>
      <c r="D223" s="109"/>
      <c r="E223" s="109"/>
      <c r="H223" s="109"/>
      <c r="I223" s="109"/>
      <c r="J223" s="109"/>
    </row>
    <row r="224" spans="1:10" x14ac:dyDescent="0.25">
      <c r="A224"/>
      <c r="B224"/>
      <c r="C224" s="109"/>
      <c r="D224" s="109"/>
      <c r="E224" s="109"/>
      <c r="H224" s="109"/>
      <c r="I224" s="109"/>
      <c r="J224" s="109"/>
    </row>
    <row r="225" spans="1:10" x14ac:dyDescent="0.25">
      <c r="A225"/>
      <c r="B225"/>
      <c r="C225" s="109"/>
      <c r="D225" s="109"/>
      <c r="E225" s="109"/>
      <c r="H225" s="109"/>
      <c r="I225" s="109"/>
      <c r="J225" s="109"/>
    </row>
    <row r="226" spans="1:10" x14ac:dyDescent="0.25">
      <c r="A226"/>
      <c r="B226"/>
      <c r="C226" s="109"/>
      <c r="D226" s="109"/>
      <c r="E226" s="109"/>
      <c r="H226" s="109"/>
      <c r="I226" s="109"/>
      <c r="J226" s="109"/>
    </row>
    <row r="227" spans="1:10" x14ac:dyDescent="0.25">
      <c r="A227"/>
      <c r="B227"/>
      <c r="C227" s="109"/>
      <c r="D227" s="109"/>
      <c r="E227" s="109"/>
      <c r="H227" s="109"/>
      <c r="I227" s="109"/>
      <c r="J227" s="109"/>
    </row>
    <row r="228" spans="1:10" x14ac:dyDescent="0.25">
      <c r="A228"/>
      <c r="B228"/>
      <c r="C228" s="109"/>
      <c r="D228" s="109"/>
      <c r="E228" s="109"/>
      <c r="H228" s="109"/>
      <c r="I228" s="109"/>
      <c r="J228" s="109"/>
    </row>
    <row r="229" spans="1:10" x14ac:dyDescent="0.25">
      <c r="A229"/>
      <c r="B229"/>
      <c r="C229" s="109"/>
      <c r="D229" s="109"/>
      <c r="E229" s="109"/>
      <c r="H229" s="109"/>
      <c r="I229" s="109"/>
      <c r="J229" s="109"/>
    </row>
    <row r="230" spans="1:10" x14ac:dyDescent="0.25">
      <c r="A230"/>
      <c r="B230"/>
      <c r="C230" s="109"/>
      <c r="D230" s="109"/>
      <c r="E230" s="109"/>
      <c r="H230" s="109"/>
      <c r="I230" s="109"/>
      <c r="J230" s="109"/>
    </row>
    <row r="231" spans="1:10" x14ac:dyDescent="0.25">
      <c r="A231"/>
      <c r="B231"/>
      <c r="C231" s="109"/>
      <c r="D231" s="109"/>
      <c r="E231" s="109"/>
      <c r="H231" s="109"/>
      <c r="I231" s="109"/>
      <c r="J231" s="109"/>
    </row>
    <row r="232" spans="1:10" x14ac:dyDescent="0.25">
      <c r="A232"/>
      <c r="B232"/>
      <c r="C232" s="109"/>
      <c r="D232" s="109"/>
      <c r="E232" s="109"/>
      <c r="H232" s="109"/>
      <c r="I232" s="109"/>
      <c r="J232" s="109"/>
    </row>
    <row r="233" spans="1:10" x14ac:dyDescent="0.25">
      <c r="A233"/>
      <c r="B233"/>
      <c r="C233" s="109"/>
      <c r="D233" s="109"/>
      <c r="E233" s="109"/>
      <c r="H233" s="109"/>
      <c r="I233" s="109"/>
      <c r="J233" s="109"/>
    </row>
    <row r="234" spans="1:10" x14ac:dyDescent="0.25">
      <c r="A234"/>
      <c r="B234"/>
      <c r="C234" s="109"/>
      <c r="D234" s="109"/>
      <c r="E234" s="109"/>
      <c r="H234" s="109"/>
      <c r="I234" s="109"/>
      <c r="J234" s="109"/>
    </row>
    <row r="235" spans="1:10" x14ac:dyDescent="0.25">
      <c r="A235"/>
      <c r="B235"/>
      <c r="C235" s="109"/>
      <c r="D235" s="109"/>
      <c r="E235" s="109"/>
      <c r="H235" s="109"/>
      <c r="I235" s="109"/>
      <c r="J235" s="109"/>
    </row>
    <row r="236" spans="1:10" x14ac:dyDescent="0.25">
      <c r="A236"/>
      <c r="B236"/>
      <c r="C236" s="109"/>
      <c r="D236" s="109"/>
      <c r="E236" s="109"/>
      <c r="H236" s="109"/>
      <c r="I236" s="109"/>
      <c r="J236" s="109"/>
    </row>
    <row r="237" spans="1:10" x14ac:dyDescent="0.25">
      <c r="A237"/>
      <c r="B237"/>
      <c r="C237" s="109"/>
      <c r="D237" s="109"/>
      <c r="E237" s="109"/>
      <c r="H237" s="109"/>
      <c r="I237" s="109"/>
      <c r="J237" s="109"/>
    </row>
    <row r="238" spans="1:10" x14ac:dyDescent="0.25">
      <c r="A238"/>
      <c r="B238"/>
      <c r="C238" s="109"/>
      <c r="D238" s="109"/>
      <c r="E238" s="109"/>
      <c r="H238" s="109"/>
      <c r="I238" s="109"/>
      <c r="J238" s="109"/>
    </row>
    <row r="239" spans="1:10" x14ac:dyDescent="0.25">
      <c r="A239"/>
      <c r="B239"/>
      <c r="C239" s="109"/>
      <c r="D239" s="109"/>
      <c r="E239" s="109"/>
      <c r="H239" s="109"/>
      <c r="I239" s="109"/>
      <c r="J239" s="109"/>
    </row>
    <row r="240" spans="1:10" x14ac:dyDescent="0.25">
      <c r="A240"/>
      <c r="B240"/>
      <c r="C240" s="109"/>
      <c r="D240" s="109"/>
      <c r="E240" s="109"/>
      <c r="H240" s="109"/>
      <c r="I240" s="109"/>
      <c r="J240" s="109"/>
    </row>
    <row r="241" spans="1:10" x14ac:dyDescent="0.25">
      <c r="A241"/>
      <c r="B241"/>
      <c r="C241" s="109"/>
      <c r="D241" s="109"/>
      <c r="E241" s="109"/>
      <c r="H241" s="109"/>
      <c r="I241" s="109"/>
      <c r="J241" s="109"/>
    </row>
    <row r="242" spans="1:10" x14ac:dyDescent="0.25">
      <c r="A242"/>
      <c r="B242"/>
      <c r="C242" s="109"/>
      <c r="D242" s="109"/>
      <c r="E242" s="109"/>
      <c r="H242" s="109"/>
      <c r="I242" s="109"/>
      <c r="J242" s="109"/>
    </row>
    <row r="243" spans="1:10" x14ac:dyDescent="0.25">
      <c r="A243"/>
      <c r="B243"/>
      <c r="C243" s="109"/>
      <c r="D243" s="109"/>
      <c r="E243" s="109"/>
      <c r="H243" s="109"/>
      <c r="I243" s="109"/>
      <c r="J243" s="109"/>
    </row>
    <row r="244" spans="1:10" x14ac:dyDescent="0.25">
      <c r="A244"/>
      <c r="B244"/>
      <c r="C244" s="109"/>
      <c r="D244" s="109"/>
      <c r="E244" s="109"/>
      <c r="H244" s="109"/>
      <c r="I244" s="109"/>
      <c r="J244" s="109"/>
    </row>
    <row r="245" spans="1:10" x14ac:dyDescent="0.25">
      <c r="A245"/>
      <c r="B245"/>
      <c r="C245" s="109"/>
      <c r="D245" s="109"/>
      <c r="E245" s="109"/>
      <c r="H245" s="109"/>
      <c r="I245" s="109"/>
      <c r="J245" s="109"/>
    </row>
    <row r="246" spans="1:10" x14ac:dyDescent="0.25">
      <c r="A246"/>
      <c r="B246"/>
      <c r="C246" s="109"/>
      <c r="D246" s="109"/>
      <c r="E246" s="109"/>
      <c r="H246" s="109"/>
      <c r="I246" s="109"/>
      <c r="J246" s="109"/>
    </row>
    <row r="247" spans="1:10" x14ac:dyDescent="0.25">
      <c r="A247"/>
      <c r="B247"/>
      <c r="C247" s="109"/>
      <c r="D247" s="109"/>
      <c r="E247" s="109"/>
      <c r="H247" s="109"/>
      <c r="I247" s="109"/>
      <c r="J247" s="109"/>
    </row>
    <row r="248" spans="1:10" x14ac:dyDescent="0.25">
      <c r="A248"/>
      <c r="B248"/>
      <c r="C248" s="109"/>
      <c r="D248" s="109"/>
      <c r="E248" s="109"/>
      <c r="H248" s="109"/>
      <c r="I248" s="109"/>
      <c r="J248" s="109"/>
    </row>
    <row r="249" spans="1:10" x14ac:dyDescent="0.25">
      <c r="A249"/>
      <c r="B249"/>
      <c r="C249" s="109"/>
      <c r="D249" s="109"/>
      <c r="E249" s="109"/>
      <c r="H249" s="109"/>
      <c r="I249" s="109"/>
      <c r="J249" s="109"/>
    </row>
    <row r="250" spans="1:10" x14ac:dyDescent="0.25">
      <c r="A250"/>
      <c r="B250"/>
      <c r="C250" s="109"/>
      <c r="D250" s="109"/>
      <c r="E250" s="109"/>
      <c r="H250" s="109"/>
      <c r="I250" s="109"/>
      <c r="J250" s="109"/>
    </row>
    <row r="251" spans="1:10" x14ac:dyDescent="0.25">
      <c r="A251"/>
      <c r="B251"/>
      <c r="C251" s="109"/>
      <c r="D251" s="109"/>
      <c r="E251" s="109"/>
      <c r="H251" s="109"/>
      <c r="I251" s="109"/>
      <c r="J251" s="109"/>
    </row>
    <row r="252" spans="1:10" x14ac:dyDescent="0.25">
      <c r="A252"/>
      <c r="B252"/>
      <c r="C252" s="109"/>
      <c r="D252" s="109"/>
      <c r="E252" s="109"/>
      <c r="H252" s="109"/>
      <c r="I252" s="109"/>
      <c r="J252" s="109"/>
    </row>
    <row r="253" spans="1:10" x14ac:dyDescent="0.25">
      <c r="A253"/>
      <c r="B253"/>
      <c r="C253" s="109"/>
      <c r="D253" s="109"/>
      <c r="E253" s="109"/>
      <c r="H253" s="109"/>
      <c r="I253" s="109"/>
      <c r="J253" s="109"/>
    </row>
    <row r="254" spans="1:10" x14ac:dyDescent="0.25">
      <c r="A254"/>
      <c r="B254"/>
      <c r="C254" s="109"/>
      <c r="D254" s="109"/>
      <c r="E254" s="109"/>
      <c r="H254" s="109"/>
      <c r="I254" s="109"/>
      <c r="J254" s="109"/>
    </row>
    <row r="255" spans="1:10" x14ac:dyDescent="0.25">
      <c r="A255"/>
      <c r="B255"/>
      <c r="C255" s="109"/>
      <c r="D255" s="109"/>
      <c r="E255" s="109"/>
      <c r="H255" s="109"/>
      <c r="I255" s="109"/>
      <c r="J255" s="109"/>
    </row>
    <row r="256" spans="1:10" x14ac:dyDescent="0.25">
      <c r="A256"/>
      <c r="B256"/>
      <c r="C256" s="109"/>
      <c r="D256" s="109"/>
      <c r="E256" s="109"/>
      <c r="H256" s="109"/>
      <c r="I256" s="109"/>
      <c r="J256" s="109"/>
    </row>
    <row r="257" spans="1:10" x14ac:dyDescent="0.25">
      <c r="A257"/>
      <c r="B257"/>
      <c r="C257" s="109"/>
      <c r="D257" s="109"/>
      <c r="E257" s="109"/>
      <c r="H257" s="109"/>
      <c r="I257" s="109"/>
      <c r="J257" s="109"/>
    </row>
    <row r="258" spans="1:10" x14ac:dyDescent="0.25">
      <c r="A258"/>
      <c r="B258"/>
      <c r="C258" s="109"/>
      <c r="D258" s="109"/>
      <c r="E258" s="109"/>
      <c r="H258" s="109"/>
      <c r="I258" s="109"/>
      <c r="J258" s="109"/>
    </row>
    <row r="259" spans="1:10" x14ac:dyDescent="0.25">
      <c r="A259"/>
      <c r="B259"/>
      <c r="C259" s="109"/>
      <c r="D259" s="109"/>
      <c r="E259" s="109"/>
      <c r="H259" s="109"/>
      <c r="I259" s="109"/>
      <c r="J259" s="109"/>
    </row>
    <row r="260" spans="1:10" x14ac:dyDescent="0.25">
      <c r="A260"/>
      <c r="B260"/>
      <c r="C260" s="109"/>
      <c r="D260" s="109"/>
      <c r="E260" s="109"/>
      <c r="H260" s="109"/>
      <c r="I260" s="109"/>
      <c r="J260" s="109"/>
    </row>
    <row r="261" spans="1:10" x14ac:dyDescent="0.25">
      <c r="A261"/>
      <c r="B261"/>
      <c r="C261" s="109"/>
      <c r="D261" s="109"/>
      <c r="E261" s="109"/>
      <c r="H261" s="109"/>
      <c r="I261" s="109"/>
      <c r="J261" s="109"/>
    </row>
    <row r="262" spans="1:10" x14ac:dyDescent="0.25">
      <c r="A262"/>
      <c r="B262"/>
      <c r="C262" s="109"/>
      <c r="D262" s="109"/>
      <c r="E262" s="109"/>
      <c r="H262" s="109"/>
      <c r="I262" s="109"/>
      <c r="J262" s="109"/>
    </row>
    <row r="263" spans="1:10" x14ac:dyDescent="0.25">
      <c r="A263"/>
      <c r="B263"/>
      <c r="C263" s="109"/>
      <c r="D263" s="109"/>
      <c r="E263" s="109"/>
      <c r="H263" s="109"/>
      <c r="I263" s="109"/>
      <c r="J263" s="109"/>
    </row>
    <row r="264" spans="1:10" x14ac:dyDescent="0.25">
      <c r="A264"/>
      <c r="B264"/>
      <c r="C264" s="109"/>
      <c r="D264" s="109"/>
      <c r="E264" s="109"/>
      <c r="H264" s="109"/>
      <c r="I264" s="109"/>
      <c r="J264" s="109"/>
    </row>
    <row r="265" spans="1:10" x14ac:dyDescent="0.25">
      <c r="A265"/>
      <c r="B265"/>
      <c r="C265" s="109"/>
      <c r="D265" s="109"/>
      <c r="E265" s="109"/>
      <c r="H265" s="109"/>
      <c r="I265" s="109"/>
      <c r="J265" s="109"/>
    </row>
    <row r="266" spans="1:10" x14ac:dyDescent="0.25">
      <c r="A266"/>
      <c r="B266"/>
      <c r="C266" s="109"/>
      <c r="D266" s="109"/>
      <c r="E266" s="109"/>
      <c r="H266" s="109"/>
      <c r="I266" s="109"/>
      <c r="J266" s="109"/>
    </row>
    <row r="267" spans="1:10" x14ac:dyDescent="0.25">
      <c r="A267"/>
      <c r="B267"/>
      <c r="C267" s="109"/>
      <c r="D267" s="109"/>
      <c r="E267" s="109"/>
      <c r="H267" s="109"/>
      <c r="I267" s="109"/>
      <c r="J267" s="109"/>
    </row>
    <row r="268" spans="1:10" x14ac:dyDescent="0.25">
      <c r="A268"/>
      <c r="B268"/>
      <c r="C268" s="109"/>
      <c r="D268" s="109"/>
      <c r="E268" s="109"/>
      <c r="H268" s="109"/>
      <c r="I268" s="109"/>
      <c r="J268" s="109"/>
    </row>
    <row r="269" spans="1:10" x14ac:dyDescent="0.25">
      <c r="A269"/>
      <c r="B269"/>
      <c r="C269" s="109"/>
      <c r="D269" s="109"/>
      <c r="E269" s="109"/>
      <c r="H269" s="109"/>
      <c r="I269" s="109"/>
      <c r="J269" s="109"/>
    </row>
    <row r="270" spans="1:10" x14ac:dyDescent="0.25">
      <c r="A270"/>
      <c r="B270"/>
      <c r="C270" s="109"/>
      <c r="D270" s="109"/>
      <c r="E270" s="109"/>
      <c r="H270" s="109"/>
      <c r="I270" s="109"/>
      <c r="J270" s="109"/>
    </row>
    <row r="271" spans="1:10" x14ac:dyDescent="0.25">
      <c r="A271"/>
      <c r="B271"/>
      <c r="C271" s="109"/>
      <c r="D271" s="109"/>
      <c r="E271" s="109"/>
      <c r="H271" s="109"/>
      <c r="I271" s="109"/>
      <c r="J271" s="109"/>
    </row>
    <row r="272" spans="1:10" x14ac:dyDescent="0.25">
      <c r="A272"/>
      <c r="B272"/>
      <c r="C272" s="109"/>
      <c r="D272" s="109"/>
      <c r="E272" s="109"/>
      <c r="H272" s="109"/>
      <c r="I272" s="109"/>
      <c r="J272" s="109"/>
    </row>
    <row r="273" spans="1:10" x14ac:dyDescent="0.25">
      <c r="A273"/>
      <c r="B273"/>
      <c r="C273" s="109"/>
      <c r="D273" s="109"/>
      <c r="E273" s="109"/>
      <c r="H273" s="109"/>
      <c r="I273" s="109"/>
      <c r="J273" s="109"/>
    </row>
    <row r="274" spans="1:10" x14ac:dyDescent="0.25">
      <c r="A274"/>
      <c r="B274"/>
      <c r="C274" s="109"/>
      <c r="D274" s="109"/>
      <c r="E274" s="109"/>
      <c r="H274" s="109"/>
      <c r="I274" s="109"/>
      <c r="J274" s="109"/>
    </row>
    <row r="275" spans="1:10" x14ac:dyDescent="0.25">
      <c r="A275"/>
      <c r="B275"/>
      <c r="C275" s="109"/>
      <c r="D275" s="109"/>
      <c r="E275" s="109"/>
      <c r="H275" s="109"/>
      <c r="I275" s="109"/>
      <c r="J275" s="109"/>
    </row>
    <row r="276" spans="1:10" x14ac:dyDescent="0.25">
      <c r="A276"/>
      <c r="B276"/>
      <c r="C276" s="109"/>
      <c r="D276" s="109"/>
      <c r="E276" s="109"/>
      <c r="H276" s="109"/>
      <c r="I276" s="109"/>
      <c r="J276" s="109"/>
    </row>
    <row r="277" spans="1:10" x14ac:dyDescent="0.25">
      <c r="A277"/>
      <c r="B277"/>
      <c r="C277" s="109"/>
      <c r="D277" s="109"/>
      <c r="E277" s="109"/>
      <c r="H277" s="109"/>
      <c r="I277" s="109"/>
      <c r="J277" s="109"/>
    </row>
    <row r="278" spans="1:10" x14ac:dyDescent="0.25">
      <c r="A278"/>
      <c r="B278"/>
      <c r="C278" s="109"/>
      <c r="D278" s="109"/>
      <c r="E278" s="109"/>
      <c r="H278" s="109"/>
      <c r="I278" s="109"/>
      <c r="J278" s="109"/>
    </row>
    <row r="279" spans="1:10" x14ac:dyDescent="0.25">
      <c r="A279"/>
      <c r="B279"/>
      <c r="C279" s="109"/>
      <c r="D279" s="109"/>
      <c r="E279" s="109"/>
      <c r="H279" s="109"/>
      <c r="I279" s="109"/>
      <c r="J279" s="109"/>
    </row>
    <row r="280" spans="1:10" x14ac:dyDescent="0.25">
      <c r="A280"/>
      <c r="B280"/>
      <c r="C280" s="109"/>
      <c r="D280" s="109"/>
      <c r="E280" s="109"/>
      <c r="H280" s="109"/>
      <c r="I280" s="109"/>
      <c r="J280" s="109"/>
    </row>
    <row r="281" spans="1:10" x14ac:dyDescent="0.25">
      <c r="A281"/>
      <c r="B281"/>
      <c r="C281" s="109"/>
      <c r="D281" s="109"/>
      <c r="E281" s="109"/>
      <c r="H281" s="109"/>
      <c r="I281" s="109"/>
      <c r="J281" s="109"/>
    </row>
    <row r="282" spans="1:10" x14ac:dyDescent="0.25">
      <c r="A282"/>
      <c r="B282"/>
      <c r="C282" s="109"/>
      <c r="D282" s="109"/>
      <c r="E282" s="109"/>
      <c r="H282" s="109"/>
      <c r="I282" s="109"/>
      <c r="J282" s="109"/>
    </row>
    <row r="283" spans="1:10" x14ac:dyDescent="0.25">
      <c r="A283"/>
      <c r="B283"/>
      <c r="C283" s="109"/>
      <c r="D283" s="109"/>
      <c r="E283" s="109"/>
      <c r="H283" s="109"/>
      <c r="I283" s="109"/>
      <c r="J283" s="109"/>
    </row>
    <row r="284" spans="1:10" x14ac:dyDescent="0.25">
      <c r="A284"/>
      <c r="B284"/>
      <c r="C284" s="109"/>
      <c r="D284" s="109"/>
      <c r="E284" s="109"/>
      <c r="H284" s="109"/>
      <c r="I284" s="109"/>
      <c r="J284" s="109"/>
    </row>
    <row r="285" spans="1:10" x14ac:dyDescent="0.25">
      <c r="A285"/>
      <c r="B285"/>
      <c r="C285" s="109"/>
      <c r="D285" s="109"/>
      <c r="E285" s="109"/>
      <c r="H285" s="109"/>
      <c r="I285" s="109"/>
      <c r="J285" s="109"/>
    </row>
    <row r="286" spans="1:10" x14ac:dyDescent="0.25">
      <c r="A286"/>
      <c r="B286"/>
      <c r="C286" s="109"/>
      <c r="D286" s="109"/>
      <c r="E286" s="109"/>
      <c r="H286" s="109"/>
      <c r="I286" s="109"/>
      <c r="J286" s="109"/>
    </row>
    <row r="287" spans="1:10" x14ac:dyDescent="0.25">
      <c r="A287"/>
      <c r="B287"/>
      <c r="C287" s="109"/>
      <c r="D287" s="109"/>
      <c r="E287" s="109"/>
      <c r="H287" s="109"/>
      <c r="I287" s="109"/>
      <c r="J287" s="109"/>
    </row>
    <row r="288" spans="1:10" x14ac:dyDescent="0.25">
      <c r="A288"/>
      <c r="B288"/>
      <c r="C288" s="109"/>
      <c r="D288" s="109"/>
      <c r="E288" s="109"/>
      <c r="H288" s="109"/>
      <c r="I288" s="109"/>
      <c r="J288" s="109"/>
    </row>
    <row r="289" spans="1:10" x14ac:dyDescent="0.25">
      <c r="A289"/>
      <c r="B289"/>
      <c r="C289" s="109"/>
      <c r="D289" s="109"/>
      <c r="E289" s="109"/>
      <c r="H289" s="109"/>
      <c r="I289" s="109"/>
      <c r="J289" s="109"/>
    </row>
    <row r="290" spans="1:10" x14ac:dyDescent="0.25">
      <c r="A290"/>
      <c r="B290"/>
      <c r="C290" s="109"/>
      <c r="D290" s="109"/>
      <c r="E290" s="109"/>
      <c r="H290" s="109"/>
      <c r="I290" s="109"/>
      <c r="J290" s="109"/>
    </row>
    <row r="291" spans="1:10" x14ac:dyDescent="0.25">
      <c r="A291"/>
      <c r="B291"/>
      <c r="C291" s="109"/>
      <c r="D291" s="109"/>
      <c r="E291" s="109"/>
      <c r="H291" s="109"/>
      <c r="I291" s="109"/>
      <c r="J291" s="109"/>
    </row>
    <row r="292" spans="1:10" x14ac:dyDescent="0.25">
      <c r="A292"/>
      <c r="B292"/>
      <c r="C292" s="109"/>
      <c r="D292" s="109"/>
      <c r="E292" s="109"/>
      <c r="H292" s="109"/>
      <c r="I292" s="109"/>
      <c r="J292" s="109"/>
    </row>
    <row r="293" spans="1:10" x14ac:dyDescent="0.25">
      <c r="A293"/>
      <c r="B293"/>
      <c r="C293" s="109"/>
      <c r="D293" s="109"/>
      <c r="E293" s="109"/>
      <c r="H293" s="109"/>
      <c r="I293" s="109"/>
      <c r="J293" s="109"/>
    </row>
    <row r="294" spans="1:10" x14ac:dyDescent="0.25">
      <c r="A294"/>
      <c r="B294"/>
      <c r="C294" s="109"/>
      <c r="D294" s="109"/>
      <c r="E294" s="109"/>
      <c r="H294" s="109"/>
      <c r="I294" s="109"/>
      <c r="J294" s="109"/>
    </row>
    <row r="295" spans="1:10" x14ac:dyDescent="0.25">
      <c r="A295"/>
      <c r="B295"/>
      <c r="C295" s="109"/>
      <c r="D295" s="109"/>
      <c r="E295" s="109"/>
      <c r="H295" s="109"/>
      <c r="I295" s="109"/>
      <c r="J295" s="109"/>
    </row>
    <row r="296" spans="1:10" x14ac:dyDescent="0.25">
      <c r="A296"/>
      <c r="B296"/>
      <c r="C296" s="109"/>
      <c r="D296" s="109"/>
      <c r="E296" s="109"/>
      <c r="H296" s="109"/>
      <c r="I296" s="109"/>
      <c r="J296" s="109"/>
    </row>
    <row r="297" spans="1:10" x14ac:dyDescent="0.25">
      <c r="A297"/>
      <c r="B297"/>
      <c r="C297" s="109"/>
      <c r="D297" s="109"/>
      <c r="E297" s="109"/>
      <c r="H297" s="109"/>
      <c r="I297" s="109"/>
      <c r="J297" s="109"/>
    </row>
    <row r="298" spans="1:10" x14ac:dyDescent="0.25">
      <c r="A298"/>
      <c r="B298"/>
      <c r="C298" s="109"/>
      <c r="D298" s="109"/>
      <c r="E298" s="109"/>
      <c r="H298" s="109"/>
      <c r="I298" s="109"/>
      <c r="J298" s="109"/>
    </row>
    <row r="299" spans="1:10" x14ac:dyDescent="0.25">
      <c r="A299"/>
      <c r="B299"/>
      <c r="C299" s="109"/>
      <c r="D299" s="109"/>
      <c r="E299" s="109"/>
      <c r="H299" s="109"/>
      <c r="I299" s="109"/>
      <c r="J299" s="109"/>
    </row>
    <row r="300" spans="1:10" x14ac:dyDescent="0.25">
      <c r="A300"/>
      <c r="B300"/>
      <c r="C300" s="109"/>
      <c r="D300" s="109"/>
      <c r="E300" s="109"/>
      <c r="H300" s="109"/>
      <c r="I300" s="109"/>
      <c r="J300" s="109"/>
    </row>
    <row r="301" spans="1:10" x14ac:dyDescent="0.25">
      <c r="A301"/>
      <c r="B301"/>
      <c r="C301" s="109"/>
      <c r="D301" s="109"/>
      <c r="E301" s="109"/>
      <c r="H301" s="109"/>
      <c r="I301" s="109"/>
      <c r="J301" s="109"/>
    </row>
    <row r="302" spans="1:10" x14ac:dyDescent="0.25">
      <c r="A302"/>
      <c r="B302"/>
      <c r="C302" s="109"/>
      <c r="D302" s="109"/>
      <c r="E302" s="109"/>
      <c r="H302" s="109"/>
      <c r="I302" s="109"/>
      <c r="J302" s="109"/>
    </row>
    <row r="303" spans="1:10" x14ac:dyDescent="0.25">
      <c r="A303"/>
      <c r="B303"/>
      <c r="C303" s="109"/>
      <c r="D303" s="109"/>
      <c r="E303" s="109"/>
      <c r="H303" s="109"/>
      <c r="I303" s="109"/>
      <c r="J303" s="109"/>
    </row>
    <row r="304" spans="1:10" x14ac:dyDescent="0.25">
      <c r="A304"/>
      <c r="B304"/>
      <c r="C304" s="109"/>
      <c r="D304" s="109"/>
      <c r="E304" s="109"/>
      <c r="H304" s="109"/>
      <c r="I304" s="109"/>
      <c r="J304" s="109"/>
    </row>
    <row r="305" spans="1:10" x14ac:dyDescent="0.25">
      <c r="A305"/>
      <c r="B305"/>
      <c r="C305" s="109"/>
      <c r="D305" s="109"/>
      <c r="E305" s="109"/>
      <c r="H305" s="109"/>
      <c r="I305" s="109"/>
      <c r="J305" s="109"/>
    </row>
    <row r="306" spans="1:10" x14ac:dyDescent="0.25">
      <c r="A306"/>
      <c r="B306"/>
      <c r="C306" s="109"/>
      <c r="D306" s="109"/>
      <c r="E306" s="109"/>
      <c r="H306" s="109"/>
      <c r="I306" s="109"/>
      <c r="J306" s="109"/>
    </row>
    <row r="307" spans="1:10" x14ac:dyDescent="0.25">
      <c r="A307"/>
      <c r="B307"/>
      <c r="C307" s="109"/>
      <c r="D307" s="109"/>
      <c r="E307" s="109"/>
      <c r="H307" s="109"/>
      <c r="I307" s="109"/>
      <c r="J307" s="109"/>
    </row>
    <row r="308" spans="1:10" x14ac:dyDescent="0.25">
      <c r="A308"/>
      <c r="B308"/>
      <c r="C308" s="109"/>
      <c r="D308" s="109"/>
      <c r="E308" s="109"/>
      <c r="H308" s="109"/>
      <c r="I308" s="109"/>
      <c r="J308" s="109"/>
    </row>
    <row r="309" spans="1:10" x14ac:dyDescent="0.25">
      <c r="A309"/>
      <c r="B309"/>
      <c r="C309" s="109"/>
      <c r="D309" s="109"/>
      <c r="E309" s="109"/>
      <c r="H309" s="109"/>
      <c r="I309" s="109"/>
      <c r="J309" s="109"/>
    </row>
    <row r="310" spans="1:10" x14ac:dyDescent="0.25">
      <c r="A310"/>
      <c r="B310"/>
      <c r="C310" s="109"/>
      <c r="D310" s="109"/>
      <c r="E310" s="109"/>
      <c r="H310" s="109"/>
      <c r="I310" s="109"/>
      <c r="J310" s="109"/>
    </row>
    <row r="311" spans="1:10" x14ac:dyDescent="0.25">
      <c r="A311"/>
      <c r="B311"/>
      <c r="C311" s="109"/>
      <c r="D311" s="109"/>
      <c r="E311" s="109"/>
      <c r="H311" s="109"/>
      <c r="I311" s="109"/>
      <c r="J311" s="109"/>
    </row>
    <row r="312" spans="1:10" x14ac:dyDescent="0.25">
      <c r="A312"/>
      <c r="B312"/>
      <c r="C312" s="109"/>
      <c r="D312" s="109"/>
      <c r="E312" s="109"/>
      <c r="H312" s="109"/>
      <c r="I312" s="109"/>
      <c r="J312" s="109"/>
    </row>
  </sheetData>
  <mergeCells count="14">
    <mergeCell ref="A19:G19"/>
    <mergeCell ref="A26:J27"/>
    <mergeCell ref="A5:B5"/>
    <mergeCell ref="D5:E5"/>
    <mergeCell ref="G5:H5"/>
    <mergeCell ref="I5:J5"/>
    <mergeCell ref="A7:J8"/>
    <mergeCell ref="A10:G10"/>
    <mergeCell ref="A1:J1"/>
    <mergeCell ref="A2:J2"/>
    <mergeCell ref="A4:B4"/>
    <mergeCell ref="D4:E4"/>
    <mergeCell ref="G4:H4"/>
    <mergeCell ref="I4:J4"/>
  </mergeCells>
  <conditionalFormatting sqref="A147:E178">
    <cfRule type="expression" dxfId="27" priority="6">
      <formula>$A147="Vendor"</formula>
    </cfRule>
    <cfRule type="expression" dxfId="26" priority="7">
      <formula>$A147="Upcoming consumption vendors"</formula>
    </cfRule>
  </conditionalFormatting>
  <conditionalFormatting sqref="A180:E197">
    <cfRule type="expression" dxfId="25" priority="12">
      <formula>$A180="Upcoming new spend vendors"</formula>
    </cfRule>
  </conditionalFormatting>
  <conditionalFormatting sqref="A180:E312">
    <cfRule type="expression" dxfId="24" priority="11">
      <formula>$A180="Vendor"</formula>
    </cfRule>
  </conditionalFormatting>
  <conditionalFormatting sqref="A198:E312">
    <cfRule type="expression" dxfId="23" priority="14">
      <formula>$A198="Upcoming Microsoft vendors"</formula>
    </cfRule>
  </conditionalFormatting>
  <conditionalFormatting sqref="A31:F145">
    <cfRule type="expression" dxfId="22" priority="1">
      <formula>$A31="Vendor"</formula>
    </cfRule>
    <cfRule type="expression" dxfId="21" priority="2">
      <formula>$A31="Upcoming licensing vendors"</formula>
    </cfRule>
  </conditionalFormatting>
  <conditionalFormatting sqref="E147:E178 E198:E312">
    <cfRule type="cellIs" dxfId="20" priority="10" operator="lessThan">
      <formula>0</formula>
    </cfRule>
  </conditionalFormatting>
  <conditionalFormatting sqref="E180:E197">
    <cfRule type="cellIs" dxfId="19" priority="13" operator="lessThan">
      <formula>0</formula>
    </cfRule>
  </conditionalFormatting>
  <conditionalFormatting sqref="F31:F145">
    <cfRule type="cellIs" dxfId="18" priority="3" operator="lessThan">
      <formula>0</formula>
    </cfRule>
  </conditionalFormatting>
  <conditionalFormatting sqref="G31:J145">
    <cfRule type="expression" dxfId="17" priority="4">
      <formula>OR($G31="Committed summary",$G31="Licensing summary")</formula>
    </cfRule>
    <cfRule type="expression" dxfId="16" priority="5">
      <formula>OR(IFERROR(ISNUMBER(SEARCH("committed items",$G31)),FALSE),IFERROR(ISNUMBER(SEARCH("uncommitted items",$G31)),FALSE))</formula>
    </cfRule>
  </conditionalFormatting>
  <conditionalFormatting sqref="G147:J178 G180:J312">
    <cfRule type="expression" dxfId="15" priority="8">
      <formula>OR($G147="Committed summary",$G147="Upcoming summary")</formula>
    </cfRule>
    <cfRule type="expression" dxfId="14" priority="9">
      <formula>OR(IFERROR(ISNUMBER(SEARCH("committed items",$G147)),FALSE),IFERROR(ISNUMBER(SEARCH("uncommitted items",$G147)),FALSE))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C61A-D1D0-48CB-BEE3-3E803D17D3DA}">
  <sheetPr>
    <tabColor rgb="FFC00000"/>
  </sheetPr>
  <dimension ref="A1:L148"/>
  <sheetViews>
    <sheetView zoomScaleNormal="100" workbookViewId="0">
      <pane xSplit="1" ySplit="1" topLeftCell="B17" activePane="bottomRight" state="frozen"/>
      <selection pane="topRight" activeCell="B1" sqref="B1"/>
      <selection pane="bottomLeft" activeCell="A3" sqref="A3"/>
      <selection pane="bottomRight" activeCell="G36" sqref="G36"/>
    </sheetView>
    <sheetView workbookViewId="1"/>
  </sheetViews>
  <sheetFormatPr defaultRowHeight="15" x14ac:dyDescent="0.25"/>
  <cols>
    <col min="1" max="1" width="21.85546875" customWidth="1"/>
    <col min="2" max="2" width="26.7109375" customWidth="1"/>
    <col min="3" max="3" width="13.28515625" customWidth="1"/>
    <col min="4" max="4" width="12.42578125" customWidth="1"/>
    <col min="5" max="5" width="18.140625" customWidth="1"/>
    <col min="6" max="6" width="14.28515625" customWidth="1"/>
    <col min="7" max="7" width="16.140625" customWidth="1"/>
    <col min="8" max="8" width="13.28515625" customWidth="1"/>
    <col min="9" max="9" width="26.7109375" style="3" customWidth="1"/>
    <col min="10" max="10" width="14.28515625" bestFit="1" customWidth="1"/>
    <col min="11" max="11" width="20.7109375" style="3" bestFit="1" customWidth="1"/>
    <col min="12" max="12" width="20.7109375" style="3" customWidth="1"/>
    <col min="13" max="13" width="21.140625" customWidth="1"/>
    <col min="14" max="14" width="22.5703125" bestFit="1" customWidth="1"/>
    <col min="15" max="16" width="21.5703125" customWidth="1"/>
  </cols>
  <sheetData>
    <row r="1" spans="1:12" ht="18.75" x14ac:dyDescent="0.3">
      <c r="A1" s="103" t="s">
        <v>7</v>
      </c>
      <c r="B1" s="103" t="s">
        <v>75</v>
      </c>
      <c r="C1" s="103" t="s">
        <v>559</v>
      </c>
      <c r="D1" s="103" t="s">
        <v>8</v>
      </c>
      <c r="E1" s="103" t="s">
        <v>552</v>
      </c>
      <c r="F1" s="103" t="s">
        <v>553</v>
      </c>
      <c r="G1" s="103" t="s">
        <v>554</v>
      </c>
      <c r="H1" s="103" t="s">
        <v>558</v>
      </c>
      <c r="I1" s="103" t="s">
        <v>557</v>
      </c>
      <c r="K1"/>
      <c r="L1"/>
    </row>
    <row r="2" spans="1:12" x14ac:dyDescent="0.25">
      <c r="A2" t="s">
        <v>587</v>
      </c>
      <c r="B2" s="7" t="s">
        <v>694</v>
      </c>
      <c r="C2" t="s">
        <v>560</v>
      </c>
      <c r="D2" t="s">
        <v>555</v>
      </c>
      <c r="E2" s="4">
        <v>46203</v>
      </c>
      <c r="F2" s="83">
        <v>31644</v>
      </c>
      <c r="G2" s="104">
        <v>0</v>
      </c>
      <c r="H2" s="105">
        <f t="shared" ref="H2:H62" si="0">F2-G2</f>
        <v>31644</v>
      </c>
      <c r="I2" s="7"/>
      <c r="K2"/>
      <c r="L2"/>
    </row>
    <row r="3" spans="1:12" x14ac:dyDescent="0.25">
      <c r="A3" t="s">
        <v>588</v>
      </c>
      <c r="B3" s="7" t="s">
        <v>695</v>
      </c>
      <c r="C3" t="s">
        <v>560</v>
      </c>
      <c r="D3" t="s">
        <v>555</v>
      </c>
      <c r="E3" s="4">
        <v>46203</v>
      </c>
      <c r="F3" s="83">
        <v>33330.361643835618</v>
      </c>
      <c r="G3" s="104">
        <v>0</v>
      </c>
      <c r="H3" s="105">
        <f t="shared" si="0"/>
        <v>33330.361643835618</v>
      </c>
      <c r="I3" s="7"/>
      <c r="K3"/>
      <c r="L3"/>
    </row>
    <row r="4" spans="1:12" x14ac:dyDescent="0.25">
      <c r="A4" t="s">
        <v>589</v>
      </c>
      <c r="B4" s="7" t="s">
        <v>696</v>
      </c>
      <c r="C4" t="s">
        <v>560</v>
      </c>
      <c r="D4" t="s">
        <v>555</v>
      </c>
      <c r="E4" s="4">
        <v>46203</v>
      </c>
      <c r="F4" s="83">
        <v>13440</v>
      </c>
      <c r="G4" s="104">
        <v>0</v>
      </c>
      <c r="H4" s="105">
        <f t="shared" si="0"/>
        <v>13440</v>
      </c>
      <c r="I4" s="7"/>
      <c r="K4"/>
      <c r="L4"/>
    </row>
    <row r="5" spans="1:12" x14ac:dyDescent="0.25">
      <c r="A5" t="s">
        <v>590</v>
      </c>
      <c r="B5" s="7" t="s">
        <v>697</v>
      </c>
      <c r="C5" t="s">
        <v>560</v>
      </c>
      <c r="D5" t="s">
        <v>555</v>
      </c>
      <c r="E5" s="4">
        <v>46203</v>
      </c>
      <c r="F5" s="83">
        <v>588</v>
      </c>
      <c r="G5" s="104">
        <v>0</v>
      </c>
      <c r="H5" s="105">
        <f t="shared" si="0"/>
        <v>588</v>
      </c>
      <c r="I5" s="7"/>
      <c r="K5"/>
      <c r="L5"/>
    </row>
    <row r="6" spans="1:12" x14ac:dyDescent="0.25">
      <c r="A6" t="s">
        <v>591</v>
      </c>
      <c r="B6" s="7" t="s">
        <v>698</v>
      </c>
      <c r="D6" t="s">
        <v>0</v>
      </c>
      <c r="E6" t="s">
        <v>551</v>
      </c>
      <c r="F6" s="82">
        <v>5687336</v>
      </c>
      <c r="G6" s="105">
        <v>5687336</v>
      </c>
      <c r="H6" s="105">
        <f t="shared" si="0"/>
        <v>0</v>
      </c>
      <c r="I6" s="136"/>
      <c r="K6"/>
      <c r="L6"/>
    </row>
    <row r="7" spans="1:12" x14ac:dyDescent="0.25">
      <c r="A7" t="s">
        <v>592</v>
      </c>
      <c r="B7" s="7" t="s">
        <v>699</v>
      </c>
      <c r="C7" t="s">
        <v>560</v>
      </c>
      <c r="D7" t="s">
        <v>555</v>
      </c>
      <c r="E7" s="4">
        <v>46203</v>
      </c>
      <c r="F7" s="83">
        <v>187065.59999999998</v>
      </c>
      <c r="G7" s="104">
        <v>0</v>
      </c>
      <c r="H7" s="105">
        <f t="shared" si="0"/>
        <v>187065.59999999998</v>
      </c>
      <c r="I7" s="7"/>
      <c r="K7"/>
      <c r="L7"/>
    </row>
    <row r="8" spans="1:12" x14ac:dyDescent="0.25">
      <c r="A8" t="s">
        <v>593</v>
      </c>
      <c r="B8" s="7" t="s">
        <v>700</v>
      </c>
      <c r="C8" t="s">
        <v>560</v>
      </c>
      <c r="D8" t="s">
        <v>555</v>
      </c>
      <c r="E8" s="4">
        <v>46203</v>
      </c>
      <c r="F8" s="83">
        <v>5000</v>
      </c>
      <c r="G8" s="104">
        <v>0</v>
      </c>
      <c r="H8" s="105">
        <f t="shared" si="0"/>
        <v>5000</v>
      </c>
      <c r="I8" s="7"/>
      <c r="K8"/>
      <c r="L8"/>
    </row>
    <row r="9" spans="1:12" x14ac:dyDescent="0.25">
      <c r="A9" t="s">
        <v>594</v>
      </c>
      <c r="B9" s="7" t="s">
        <v>701</v>
      </c>
      <c r="C9" t="s">
        <v>560</v>
      </c>
      <c r="D9" t="s">
        <v>555</v>
      </c>
      <c r="E9" s="4">
        <v>46206</v>
      </c>
      <c r="F9" s="83">
        <v>2.8456501407393504</v>
      </c>
      <c r="G9" s="104">
        <v>0</v>
      </c>
      <c r="H9" s="105">
        <f t="shared" si="0"/>
        <v>2.8456501407393504</v>
      </c>
      <c r="I9" s="7"/>
      <c r="K9"/>
      <c r="L9"/>
    </row>
    <row r="10" spans="1:12" x14ac:dyDescent="0.25">
      <c r="A10" t="s">
        <v>595</v>
      </c>
      <c r="B10" s="7" t="s">
        <v>702</v>
      </c>
      <c r="C10" t="s">
        <v>560</v>
      </c>
      <c r="D10" t="s">
        <v>555</v>
      </c>
      <c r="E10" s="4">
        <v>46223</v>
      </c>
      <c r="F10" s="83">
        <v>44383.56</v>
      </c>
      <c r="G10" s="104">
        <v>21315</v>
      </c>
      <c r="H10" s="105">
        <f t="shared" si="0"/>
        <v>23068.559999999998</v>
      </c>
      <c r="I10" s="7" t="s">
        <v>836</v>
      </c>
      <c r="K10"/>
      <c r="L10"/>
    </row>
    <row r="11" spans="1:12" x14ac:dyDescent="0.25">
      <c r="A11" t="s">
        <v>596</v>
      </c>
      <c r="B11" s="7" t="s">
        <v>703</v>
      </c>
      <c r="C11" t="s">
        <v>560</v>
      </c>
      <c r="D11" t="s">
        <v>555</v>
      </c>
      <c r="E11" s="4">
        <v>46230</v>
      </c>
      <c r="F11" s="83">
        <v>4748.9171251641956</v>
      </c>
      <c r="G11" s="104">
        <v>0</v>
      </c>
      <c r="H11" s="105">
        <f t="shared" si="0"/>
        <v>4748.9171251641956</v>
      </c>
      <c r="I11" s="7"/>
      <c r="K11"/>
      <c r="L11"/>
    </row>
    <row r="12" spans="1:12" x14ac:dyDescent="0.25">
      <c r="A12" t="s">
        <v>597</v>
      </c>
      <c r="B12" s="7" t="s">
        <v>704</v>
      </c>
      <c r="D12" t="s">
        <v>555</v>
      </c>
      <c r="E12" s="4">
        <v>46234</v>
      </c>
      <c r="F12" s="83">
        <v>16835.05</v>
      </c>
      <c r="G12" s="105">
        <v>0</v>
      </c>
      <c r="H12" s="105">
        <f t="shared" si="0"/>
        <v>16835.05</v>
      </c>
      <c r="I12" s="7"/>
      <c r="K12"/>
      <c r="L12"/>
    </row>
    <row r="13" spans="1:12" x14ac:dyDescent="0.25">
      <c r="A13" t="s">
        <v>598</v>
      </c>
      <c r="B13" s="7" t="s">
        <v>705</v>
      </c>
      <c r="D13" t="s">
        <v>0</v>
      </c>
      <c r="E13" t="s">
        <v>551</v>
      </c>
      <c r="F13" s="82">
        <v>302217</v>
      </c>
      <c r="G13" s="105">
        <v>302217</v>
      </c>
      <c r="H13" s="105">
        <f t="shared" si="0"/>
        <v>0</v>
      </c>
      <c r="I13" s="136"/>
      <c r="K13"/>
      <c r="L13"/>
    </row>
    <row r="14" spans="1:12" x14ac:dyDescent="0.25">
      <c r="A14" t="s">
        <v>599</v>
      </c>
      <c r="B14" s="7" t="s">
        <v>706</v>
      </c>
      <c r="D14" t="s">
        <v>0</v>
      </c>
      <c r="E14" t="s">
        <v>551</v>
      </c>
      <c r="F14" s="82">
        <v>3630.0000000000005</v>
      </c>
      <c r="G14" s="105">
        <v>3630</v>
      </c>
      <c r="H14" s="105">
        <f t="shared" si="0"/>
        <v>0</v>
      </c>
      <c r="I14" s="136"/>
      <c r="K14"/>
      <c r="L14"/>
    </row>
    <row r="15" spans="1:12" x14ac:dyDescent="0.25">
      <c r="A15" t="s">
        <v>600</v>
      </c>
      <c r="B15" s="7" t="s">
        <v>707</v>
      </c>
      <c r="D15" t="s">
        <v>555</v>
      </c>
      <c r="E15" s="4">
        <v>46234</v>
      </c>
      <c r="F15" s="83">
        <v>18158.900000000001</v>
      </c>
      <c r="G15" s="104">
        <v>13921</v>
      </c>
      <c r="H15" s="105">
        <f t="shared" si="0"/>
        <v>4237.9000000000015</v>
      </c>
      <c r="I15" s="7"/>
      <c r="K15"/>
      <c r="L15"/>
    </row>
    <row r="16" spans="1:12" x14ac:dyDescent="0.25">
      <c r="A16" t="s">
        <v>601</v>
      </c>
      <c r="B16" s="7" t="s">
        <v>708</v>
      </c>
      <c r="D16" t="s">
        <v>555</v>
      </c>
      <c r="E16" s="4">
        <v>46240</v>
      </c>
      <c r="F16" s="83">
        <v>10897.62</v>
      </c>
      <c r="G16" s="104">
        <v>10897.62</v>
      </c>
      <c r="H16" s="105">
        <f t="shared" si="0"/>
        <v>0</v>
      </c>
      <c r="I16" s="7"/>
      <c r="K16"/>
      <c r="L16"/>
    </row>
    <row r="17" spans="1:12" x14ac:dyDescent="0.25">
      <c r="A17" t="s">
        <v>602</v>
      </c>
      <c r="B17" s="7" t="s">
        <v>709</v>
      </c>
      <c r="D17" t="s">
        <v>555</v>
      </c>
      <c r="E17" s="4">
        <v>46241</v>
      </c>
      <c r="F17" s="83">
        <v>354869.79</v>
      </c>
      <c r="G17" s="104">
        <v>166469</v>
      </c>
      <c r="H17" s="105">
        <f t="shared" si="0"/>
        <v>188400.78999999998</v>
      </c>
      <c r="I17" s="7" t="s">
        <v>836</v>
      </c>
      <c r="K17"/>
      <c r="L17"/>
    </row>
    <row r="18" spans="1:12" x14ac:dyDescent="0.25">
      <c r="A18" t="s">
        <v>603</v>
      </c>
      <c r="B18" s="7" t="s">
        <v>710</v>
      </c>
      <c r="D18" t="s">
        <v>555</v>
      </c>
      <c r="E18" s="4">
        <v>46255</v>
      </c>
      <c r="F18" s="83">
        <v>145598</v>
      </c>
      <c r="G18" s="104">
        <v>141000</v>
      </c>
      <c r="H18" s="105">
        <f t="shared" si="0"/>
        <v>4598</v>
      </c>
      <c r="I18" s="7" t="s">
        <v>836</v>
      </c>
      <c r="K18"/>
      <c r="L18"/>
    </row>
    <row r="19" spans="1:12" x14ac:dyDescent="0.25">
      <c r="A19" t="s">
        <v>604</v>
      </c>
      <c r="B19" s="7" t="s">
        <v>711</v>
      </c>
      <c r="D19" t="s">
        <v>0</v>
      </c>
      <c r="E19" t="s">
        <v>551</v>
      </c>
      <c r="F19" s="82">
        <v>9600</v>
      </c>
      <c r="G19" s="105">
        <v>9600</v>
      </c>
      <c r="H19" s="105">
        <f t="shared" si="0"/>
        <v>0</v>
      </c>
      <c r="I19" s="136"/>
      <c r="K19"/>
      <c r="L19"/>
    </row>
    <row r="20" spans="1:12" x14ac:dyDescent="0.25">
      <c r="A20" t="s">
        <v>605</v>
      </c>
      <c r="B20" s="7" t="s">
        <v>712</v>
      </c>
      <c r="D20" t="s">
        <v>0</v>
      </c>
      <c r="E20" t="s">
        <v>551</v>
      </c>
      <c r="F20" s="82">
        <v>15000</v>
      </c>
      <c r="G20" s="105">
        <v>15000</v>
      </c>
      <c r="H20" s="105">
        <f t="shared" si="0"/>
        <v>0</v>
      </c>
      <c r="I20" s="136"/>
      <c r="K20"/>
      <c r="L20"/>
    </row>
    <row r="21" spans="1:12" x14ac:dyDescent="0.25">
      <c r="A21" t="s">
        <v>606</v>
      </c>
      <c r="B21" s="7" t="s">
        <v>713</v>
      </c>
      <c r="D21" t="s">
        <v>555</v>
      </c>
      <c r="E21" s="4">
        <v>46264</v>
      </c>
      <c r="F21" s="83">
        <v>89342.25</v>
      </c>
      <c r="G21" s="104">
        <v>81676</v>
      </c>
      <c r="H21" s="105">
        <f t="shared" si="0"/>
        <v>7666.25</v>
      </c>
      <c r="I21" s="7" t="s">
        <v>836</v>
      </c>
      <c r="K21"/>
      <c r="L21"/>
    </row>
    <row r="22" spans="1:12" x14ac:dyDescent="0.25">
      <c r="A22" t="s">
        <v>607</v>
      </c>
      <c r="B22" s="7" t="s">
        <v>714</v>
      </c>
      <c r="D22" t="s">
        <v>555</v>
      </c>
      <c r="E22" s="4">
        <v>46265</v>
      </c>
      <c r="F22" s="83">
        <v>21602.37</v>
      </c>
      <c r="G22" s="105">
        <v>16705</v>
      </c>
      <c r="H22" s="105">
        <f t="shared" si="0"/>
        <v>4897.369999999999</v>
      </c>
      <c r="I22" s="7" t="s">
        <v>836</v>
      </c>
      <c r="K22"/>
      <c r="L22"/>
    </row>
    <row r="23" spans="1:12" x14ac:dyDescent="0.25">
      <c r="A23" t="s">
        <v>608</v>
      </c>
      <c r="B23" s="7" t="s">
        <v>715</v>
      </c>
      <c r="D23" t="s">
        <v>0</v>
      </c>
      <c r="E23" t="s">
        <v>551</v>
      </c>
      <c r="F23" s="82">
        <v>31886.842589375137</v>
      </c>
      <c r="G23" s="105">
        <v>31886.84</v>
      </c>
      <c r="H23" s="105">
        <f t="shared" si="0"/>
        <v>2.5893751371768303E-3</v>
      </c>
      <c r="I23" s="136"/>
      <c r="K23"/>
      <c r="L23"/>
    </row>
    <row r="24" spans="1:12" x14ac:dyDescent="0.25">
      <c r="A24" t="s">
        <v>609</v>
      </c>
      <c r="B24" s="7" t="s">
        <v>716</v>
      </c>
      <c r="D24" t="s">
        <v>0</v>
      </c>
      <c r="E24" t="s">
        <v>551</v>
      </c>
      <c r="F24" s="82">
        <v>497</v>
      </c>
      <c r="G24" s="105">
        <v>497</v>
      </c>
      <c r="H24" s="105">
        <f t="shared" si="0"/>
        <v>0</v>
      </c>
      <c r="I24" s="136"/>
      <c r="K24"/>
      <c r="L24"/>
    </row>
    <row r="25" spans="1:12" x14ac:dyDescent="0.25">
      <c r="A25" t="s">
        <v>610</v>
      </c>
      <c r="B25" s="7" t="s">
        <v>717</v>
      </c>
      <c r="D25" t="s">
        <v>0</v>
      </c>
      <c r="E25" t="s">
        <v>551</v>
      </c>
      <c r="F25" s="82">
        <v>0</v>
      </c>
      <c r="G25" s="105"/>
      <c r="H25" s="105">
        <f t="shared" si="0"/>
        <v>0</v>
      </c>
      <c r="I25" s="136"/>
      <c r="K25"/>
      <c r="L25"/>
    </row>
    <row r="26" spans="1:12" x14ac:dyDescent="0.25">
      <c r="A26" t="s">
        <v>611</v>
      </c>
      <c r="B26" s="7" t="s">
        <v>718</v>
      </c>
      <c r="D26" t="s">
        <v>555</v>
      </c>
      <c r="E26" s="4">
        <v>46273</v>
      </c>
      <c r="F26" s="83">
        <v>6959.34</v>
      </c>
      <c r="G26" s="104">
        <v>6959.34</v>
      </c>
      <c r="H26" s="105">
        <f t="shared" si="0"/>
        <v>0</v>
      </c>
      <c r="I26" s="7" t="s">
        <v>836</v>
      </c>
      <c r="K26"/>
      <c r="L26"/>
    </row>
    <row r="27" spans="1:12" x14ac:dyDescent="0.25">
      <c r="A27" t="s">
        <v>612</v>
      </c>
      <c r="B27" s="7" t="s">
        <v>719</v>
      </c>
      <c r="D27" t="s">
        <v>555</v>
      </c>
      <c r="E27" s="4">
        <v>46276</v>
      </c>
      <c r="F27" s="83">
        <v>4000</v>
      </c>
      <c r="G27" s="104">
        <v>3928.96</v>
      </c>
      <c r="H27" s="105">
        <f t="shared" si="0"/>
        <v>71.039999999999964</v>
      </c>
      <c r="I27" s="7" t="s">
        <v>836</v>
      </c>
      <c r="K27"/>
      <c r="L27"/>
    </row>
    <row r="28" spans="1:12" x14ac:dyDescent="0.25">
      <c r="A28" t="s">
        <v>613</v>
      </c>
      <c r="B28" s="7" t="s">
        <v>720</v>
      </c>
      <c r="D28" t="s">
        <v>555</v>
      </c>
      <c r="E28" s="4">
        <v>46277</v>
      </c>
      <c r="F28" s="83">
        <v>3496.56</v>
      </c>
      <c r="G28" s="104">
        <v>0</v>
      </c>
      <c r="H28" s="105">
        <f t="shared" si="0"/>
        <v>3496.56</v>
      </c>
      <c r="I28" s="7" t="s">
        <v>836</v>
      </c>
      <c r="K28"/>
      <c r="L28"/>
    </row>
    <row r="29" spans="1:12" x14ac:dyDescent="0.25">
      <c r="A29" t="s">
        <v>613</v>
      </c>
      <c r="B29" s="7" t="s">
        <v>721</v>
      </c>
      <c r="D29" t="s">
        <v>555</v>
      </c>
      <c r="E29" s="4">
        <v>46277</v>
      </c>
      <c r="F29" s="83">
        <v>16764.09</v>
      </c>
      <c r="G29" s="104">
        <v>16764.09</v>
      </c>
      <c r="H29" s="105">
        <f t="shared" si="0"/>
        <v>0</v>
      </c>
      <c r="I29" s="7" t="s">
        <v>836</v>
      </c>
      <c r="K29"/>
      <c r="L29"/>
    </row>
    <row r="30" spans="1:12" x14ac:dyDescent="0.25">
      <c r="A30" t="s">
        <v>614</v>
      </c>
      <c r="B30" s="7" t="s">
        <v>722</v>
      </c>
      <c r="D30" t="s">
        <v>0</v>
      </c>
      <c r="E30" t="s">
        <v>551</v>
      </c>
      <c r="F30" s="82">
        <v>973271.20000000007</v>
      </c>
      <c r="G30" s="105">
        <v>973271.2</v>
      </c>
      <c r="H30" s="105">
        <f t="shared" si="0"/>
        <v>0</v>
      </c>
      <c r="I30" s="136"/>
      <c r="K30"/>
      <c r="L30"/>
    </row>
    <row r="31" spans="1:12" x14ac:dyDescent="0.25">
      <c r="A31" t="s">
        <v>613</v>
      </c>
      <c r="B31" s="7" t="s">
        <v>723</v>
      </c>
      <c r="D31" t="s">
        <v>555</v>
      </c>
      <c r="E31" s="4">
        <v>46277</v>
      </c>
      <c r="F31" s="83">
        <v>20822.12</v>
      </c>
      <c r="G31" s="104">
        <v>20822.12</v>
      </c>
      <c r="H31" s="105">
        <f t="shared" si="0"/>
        <v>0</v>
      </c>
      <c r="I31" s="7" t="s">
        <v>836</v>
      </c>
      <c r="K31"/>
      <c r="L31"/>
    </row>
    <row r="32" spans="1:12" x14ac:dyDescent="0.25">
      <c r="A32" t="s">
        <v>615</v>
      </c>
      <c r="B32" s="7" t="s">
        <v>724</v>
      </c>
      <c r="D32" t="s">
        <v>555</v>
      </c>
      <c r="E32" s="4">
        <v>46295</v>
      </c>
      <c r="F32" s="83">
        <v>2116</v>
      </c>
      <c r="G32" s="104">
        <v>1709</v>
      </c>
      <c r="H32" s="105">
        <f t="shared" si="0"/>
        <v>407</v>
      </c>
      <c r="I32" s="7" t="s">
        <v>836</v>
      </c>
      <c r="K32"/>
      <c r="L32"/>
    </row>
    <row r="33" spans="1:12" x14ac:dyDescent="0.25">
      <c r="A33" t="s">
        <v>616</v>
      </c>
      <c r="B33" s="7" t="s">
        <v>725</v>
      </c>
      <c r="D33" t="s">
        <v>556</v>
      </c>
      <c r="F33" s="82">
        <v>99999.999999999985</v>
      </c>
      <c r="G33" s="105">
        <v>100000</v>
      </c>
      <c r="H33" s="105">
        <f t="shared" si="0"/>
        <v>0</v>
      </c>
      <c r="I33" s="136"/>
      <c r="K33"/>
      <c r="L33"/>
    </row>
    <row r="34" spans="1:12" x14ac:dyDescent="0.25">
      <c r="A34" t="s">
        <v>617</v>
      </c>
      <c r="B34" s="7" t="s">
        <v>726</v>
      </c>
      <c r="D34" t="s">
        <v>555</v>
      </c>
      <c r="E34" s="6">
        <v>46295</v>
      </c>
      <c r="F34" s="106">
        <v>83410.759999999995</v>
      </c>
      <c r="G34" s="104">
        <v>86000</v>
      </c>
      <c r="H34" s="105">
        <f t="shared" si="0"/>
        <v>-2589.2400000000052</v>
      </c>
      <c r="I34" s="7" t="s">
        <v>836</v>
      </c>
      <c r="K34"/>
      <c r="L34"/>
    </row>
    <row r="35" spans="1:12" x14ac:dyDescent="0.25">
      <c r="A35" t="s">
        <v>618</v>
      </c>
      <c r="B35" s="7" t="s">
        <v>727</v>
      </c>
      <c r="D35" t="s">
        <v>555</v>
      </c>
      <c r="E35" s="4">
        <v>46297</v>
      </c>
      <c r="F35" s="83">
        <v>29440</v>
      </c>
      <c r="G35" s="105">
        <v>35000</v>
      </c>
      <c r="H35" s="105">
        <f t="shared" si="0"/>
        <v>-5560</v>
      </c>
      <c r="I35" s="136"/>
      <c r="K35"/>
      <c r="L35"/>
    </row>
    <row r="36" spans="1:12" x14ac:dyDescent="0.25">
      <c r="A36" t="s">
        <v>619</v>
      </c>
      <c r="B36" s="7" t="s">
        <v>728</v>
      </c>
      <c r="D36" t="s">
        <v>555</v>
      </c>
      <c r="E36" s="4">
        <v>46298</v>
      </c>
      <c r="F36" s="83">
        <v>1771.24</v>
      </c>
      <c r="G36" s="104">
        <v>1771.24</v>
      </c>
      <c r="H36" s="105">
        <f t="shared" si="0"/>
        <v>0</v>
      </c>
      <c r="I36" s="7"/>
      <c r="K36"/>
      <c r="L36"/>
    </row>
    <row r="37" spans="1:12" x14ac:dyDescent="0.25">
      <c r="A37" t="s">
        <v>620</v>
      </c>
      <c r="B37" s="7" t="s">
        <v>729</v>
      </c>
      <c r="D37" t="s">
        <v>555</v>
      </c>
      <c r="E37" s="4">
        <v>46301</v>
      </c>
      <c r="F37" s="83">
        <v>12185.9</v>
      </c>
      <c r="G37" s="104">
        <v>6116</v>
      </c>
      <c r="H37" s="105">
        <f t="shared" si="0"/>
        <v>6069.9</v>
      </c>
      <c r="I37" s="7"/>
      <c r="K37"/>
      <c r="L37"/>
    </row>
    <row r="38" spans="1:12" x14ac:dyDescent="0.25">
      <c r="A38" t="s">
        <v>621</v>
      </c>
      <c r="B38" s="7" t="s">
        <v>730</v>
      </c>
      <c r="D38" t="s">
        <v>555</v>
      </c>
      <c r="E38" s="4">
        <v>46304</v>
      </c>
      <c r="F38" s="83">
        <v>2558.56</v>
      </c>
      <c r="G38" s="104">
        <v>2558.56</v>
      </c>
      <c r="H38" s="105">
        <f t="shared" si="0"/>
        <v>0</v>
      </c>
      <c r="I38" s="136"/>
      <c r="K38"/>
      <c r="L38"/>
    </row>
    <row r="39" spans="1:12" x14ac:dyDescent="0.25">
      <c r="A39" t="s">
        <v>613</v>
      </c>
      <c r="B39" s="7" t="s">
        <v>731</v>
      </c>
      <c r="C39" t="s">
        <v>560</v>
      </c>
      <c r="D39" t="s">
        <v>555</v>
      </c>
      <c r="E39" s="4">
        <v>46306</v>
      </c>
      <c r="F39" s="83">
        <v>300.42</v>
      </c>
      <c r="G39" s="104">
        <v>208</v>
      </c>
      <c r="H39" s="105">
        <f t="shared" si="0"/>
        <v>92.420000000000016</v>
      </c>
      <c r="I39" s="136"/>
      <c r="K39"/>
      <c r="L39"/>
    </row>
    <row r="40" spans="1:12" x14ac:dyDescent="0.25">
      <c r="A40" t="s">
        <v>622</v>
      </c>
      <c r="B40" s="7" t="s">
        <v>732</v>
      </c>
      <c r="C40" t="s">
        <v>560</v>
      </c>
      <c r="D40" t="s">
        <v>555</v>
      </c>
      <c r="E40" s="4">
        <v>46319</v>
      </c>
      <c r="F40" s="83">
        <v>12400.71</v>
      </c>
      <c r="G40" s="104">
        <v>0</v>
      </c>
      <c r="H40" s="105">
        <f t="shared" si="0"/>
        <v>12400.71</v>
      </c>
      <c r="I40" s="7"/>
      <c r="K40"/>
      <c r="L40"/>
    </row>
    <row r="41" spans="1:12" x14ac:dyDescent="0.25">
      <c r="A41" t="s">
        <v>613</v>
      </c>
      <c r="B41" s="7" t="s">
        <v>733</v>
      </c>
      <c r="D41" t="s">
        <v>555</v>
      </c>
      <c r="F41" s="82">
        <v>9951.6940273972614</v>
      </c>
      <c r="G41" s="104"/>
      <c r="H41" s="105">
        <f t="shared" si="0"/>
        <v>9951.6940273972614</v>
      </c>
      <c r="I41" s="136"/>
      <c r="K41"/>
      <c r="L41"/>
    </row>
    <row r="42" spans="1:12" x14ac:dyDescent="0.25">
      <c r="A42" t="s">
        <v>613</v>
      </c>
      <c r="B42" s="7" t="s">
        <v>734</v>
      </c>
      <c r="D42" t="s">
        <v>555</v>
      </c>
      <c r="F42" s="82">
        <v>5359.7357876712331</v>
      </c>
      <c r="G42" s="104"/>
      <c r="H42" s="105">
        <f t="shared" si="0"/>
        <v>5359.7357876712331</v>
      </c>
      <c r="I42" s="136"/>
      <c r="K42"/>
      <c r="L42"/>
    </row>
    <row r="43" spans="1:12" x14ac:dyDescent="0.25">
      <c r="A43" t="s">
        <v>618</v>
      </c>
      <c r="B43" s="7" t="s">
        <v>735</v>
      </c>
      <c r="C43" t="s">
        <v>560</v>
      </c>
      <c r="D43" t="s">
        <v>555</v>
      </c>
      <c r="E43" s="4">
        <v>46326</v>
      </c>
      <c r="F43" s="83">
        <v>9602</v>
      </c>
      <c r="G43" s="105">
        <v>0</v>
      </c>
      <c r="H43" s="105">
        <f t="shared" si="0"/>
        <v>9602</v>
      </c>
      <c r="I43" s="136"/>
      <c r="K43"/>
      <c r="L43"/>
    </row>
    <row r="44" spans="1:12" x14ac:dyDescent="0.25">
      <c r="A44" t="s">
        <v>623</v>
      </c>
      <c r="B44" s="7" t="s">
        <v>736</v>
      </c>
      <c r="D44" t="s">
        <v>555</v>
      </c>
      <c r="E44" s="6">
        <v>46328</v>
      </c>
      <c r="F44" s="106">
        <v>63000</v>
      </c>
      <c r="G44" s="104">
        <v>63000</v>
      </c>
      <c r="H44" s="105">
        <f t="shared" si="0"/>
        <v>0</v>
      </c>
      <c r="I44" s="7"/>
      <c r="K44"/>
      <c r="L44"/>
    </row>
    <row r="45" spans="1:12" x14ac:dyDescent="0.25">
      <c r="A45" t="s">
        <v>624</v>
      </c>
      <c r="B45" s="7" t="s">
        <v>737</v>
      </c>
      <c r="D45" t="s">
        <v>555</v>
      </c>
      <c r="E45" s="4">
        <v>46340</v>
      </c>
      <c r="F45" s="83">
        <v>62507</v>
      </c>
      <c r="G45" s="104">
        <v>62507</v>
      </c>
      <c r="H45" s="105">
        <f t="shared" si="0"/>
        <v>0</v>
      </c>
      <c r="I45" s="7"/>
      <c r="K45"/>
      <c r="L45"/>
    </row>
    <row r="46" spans="1:12" x14ac:dyDescent="0.25">
      <c r="A46" t="s">
        <v>625</v>
      </c>
      <c r="B46" s="7" t="s">
        <v>738</v>
      </c>
      <c r="D46" t="s">
        <v>555</v>
      </c>
      <c r="E46" s="4">
        <v>46354</v>
      </c>
      <c r="F46" s="83">
        <v>15442.02</v>
      </c>
      <c r="G46" s="104">
        <v>15442.02</v>
      </c>
      <c r="H46" s="105">
        <f t="shared" si="0"/>
        <v>0</v>
      </c>
      <c r="I46" s="7"/>
      <c r="K46"/>
      <c r="L46"/>
    </row>
    <row r="47" spans="1:12" x14ac:dyDescent="0.25">
      <c r="A47" s="5" t="s">
        <v>626</v>
      </c>
      <c r="B47" s="7" t="s">
        <v>739</v>
      </c>
      <c r="D47" t="s">
        <v>555</v>
      </c>
      <c r="E47" s="4">
        <v>46355</v>
      </c>
      <c r="F47" s="83">
        <v>22489.93</v>
      </c>
      <c r="G47" s="104">
        <v>22489.93</v>
      </c>
      <c r="H47" s="105">
        <f t="shared" si="0"/>
        <v>0</v>
      </c>
      <c r="I47" s="7"/>
      <c r="K47"/>
      <c r="L47"/>
    </row>
    <row r="48" spans="1:12" x14ac:dyDescent="0.25">
      <c r="A48" t="s">
        <v>627</v>
      </c>
      <c r="B48" s="7" t="s">
        <v>740</v>
      </c>
      <c r="D48" t="s">
        <v>556</v>
      </c>
      <c r="F48" s="82">
        <v>7830</v>
      </c>
      <c r="G48" s="104">
        <v>7830</v>
      </c>
      <c r="H48" s="105">
        <f t="shared" si="0"/>
        <v>0</v>
      </c>
      <c r="I48" s="136"/>
      <c r="K48"/>
      <c r="L48"/>
    </row>
    <row r="49" spans="1:12" x14ac:dyDescent="0.25">
      <c r="A49" t="s">
        <v>628</v>
      </c>
      <c r="B49" s="7" t="s">
        <v>741</v>
      </c>
      <c r="D49" t="s">
        <v>555</v>
      </c>
      <c r="E49" s="4">
        <v>46356</v>
      </c>
      <c r="F49" s="83">
        <v>55533.21</v>
      </c>
      <c r="G49" s="104">
        <v>55533.21</v>
      </c>
      <c r="H49" s="105">
        <f t="shared" si="0"/>
        <v>0</v>
      </c>
      <c r="I49" s="7"/>
      <c r="K49"/>
      <c r="L49"/>
    </row>
    <row r="50" spans="1:12" x14ac:dyDescent="0.25">
      <c r="A50" t="s">
        <v>629</v>
      </c>
      <c r="B50" s="7" t="s">
        <v>742</v>
      </c>
      <c r="D50" t="s">
        <v>555</v>
      </c>
      <c r="E50" s="4">
        <v>46357</v>
      </c>
      <c r="F50" s="83">
        <v>44854.09</v>
      </c>
      <c r="G50" s="104">
        <v>44854.09</v>
      </c>
      <c r="H50" s="105">
        <f t="shared" si="0"/>
        <v>0</v>
      </c>
      <c r="I50" s="7"/>
      <c r="K50"/>
      <c r="L50"/>
    </row>
    <row r="51" spans="1:12" x14ac:dyDescent="0.25">
      <c r="A51" t="s">
        <v>630</v>
      </c>
      <c r="B51" s="7" t="s">
        <v>743</v>
      </c>
      <c r="D51" t="s">
        <v>555</v>
      </c>
      <c r="E51" s="4">
        <v>46360</v>
      </c>
      <c r="F51" s="83">
        <v>0</v>
      </c>
      <c r="G51" s="104">
        <v>142.4</v>
      </c>
      <c r="H51" s="105">
        <f t="shared" si="0"/>
        <v>-142.4</v>
      </c>
      <c r="I51" s="7"/>
      <c r="K51"/>
      <c r="L51"/>
    </row>
    <row r="52" spans="1:12" x14ac:dyDescent="0.25">
      <c r="A52" t="s">
        <v>631</v>
      </c>
      <c r="B52" s="7" t="s">
        <v>744</v>
      </c>
      <c r="D52" t="s">
        <v>555</v>
      </c>
      <c r="E52" s="4">
        <v>46364</v>
      </c>
      <c r="F52" s="83">
        <v>16000</v>
      </c>
      <c r="G52" s="104">
        <v>10780.5</v>
      </c>
      <c r="H52" s="105">
        <f t="shared" si="0"/>
        <v>5219.5</v>
      </c>
      <c r="I52" s="7"/>
      <c r="K52"/>
      <c r="L52"/>
    </row>
    <row r="53" spans="1:12" x14ac:dyDescent="0.25">
      <c r="A53" t="s">
        <v>632</v>
      </c>
      <c r="B53" s="7" t="s">
        <v>745</v>
      </c>
      <c r="D53" t="s">
        <v>555</v>
      </c>
      <c r="E53" s="4">
        <v>46364</v>
      </c>
      <c r="F53" s="83">
        <v>38169.86</v>
      </c>
      <c r="G53" s="104">
        <v>38169.86</v>
      </c>
      <c r="H53" s="105">
        <f t="shared" si="0"/>
        <v>0</v>
      </c>
      <c r="I53" s="7"/>
      <c r="K53"/>
      <c r="L53"/>
    </row>
    <row r="54" spans="1:12" x14ac:dyDescent="0.25">
      <c r="A54" t="s">
        <v>633</v>
      </c>
      <c r="B54" s="7" t="s">
        <v>746</v>
      </c>
      <c r="D54" t="s">
        <v>555</v>
      </c>
      <c r="E54" s="4">
        <v>46368</v>
      </c>
      <c r="F54" s="83">
        <v>72737.119999999995</v>
      </c>
      <c r="G54" s="104">
        <v>72737.119999999995</v>
      </c>
      <c r="H54" s="105">
        <f t="shared" si="0"/>
        <v>0</v>
      </c>
      <c r="I54" s="7"/>
      <c r="K54"/>
      <c r="L54"/>
    </row>
    <row r="55" spans="1:12" x14ac:dyDescent="0.25">
      <c r="A55" t="s">
        <v>634</v>
      </c>
      <c r="B55" s="7" t="s">
        <v>747</v>
      </c>
      <c r="D55" t="s">
        <v>555</v>
      </c>
      <c r="E55" s="4">
        <v>46371</v>
      </c>
      <c r="F55" s="83">
        <v>7767.45</v>
      </c>
      <c r="G55" s="104">
        <v>6000</v>
      </c>
      <c r="H55" s="105">
        <f t="shared" si="0"/>
        <v>1767.4499999999998</v>
      </c>
      <c r="I55" s="7"/>
      <c r="K55"/>
      <c r="L55"/>
    </row>
    <row r="56" spans="1:12" x14ac:dyDescent="0.25">
      <c r="A56" t="s">
        <v>635</v>
      </c>
      <c r="B56" s="7" t="s">
        <v>748</v>
      </c>
      <c r="D56" t="s">
        <v>0</v>
      </c>
      <c r="E56" t="s">
        <v>551</v>
      </c>
      <c r="F56" s="82">
        <v>24000</v>
      </c>
      <c r="G56" s="104">
        <v>24000</v>
      </c>
      <c r="H56" s="105">
        <f t="shared" si="0"/>
        <v>0</v>
      </c>
      <c r="I56" s="136"/>
      <c r="K56"/>
      <c r="L56"/>
    </row>
    <row r="57" spans="1:12" x14ac:dyDescent="0.25">
      <c r="A57" t="s">
        <v>635</v>
      </c>
      <c r="B57" s="7" t="s">
        <v>749</v>
      </c>
      <c r="D57" t="s">
        <v>0</v>
      </c>
      <c r="E57" t="s">
        <v>551</v>
      </c>
      <c r="F57" s="82">
        <v>2000</v>
      </c>
      <c r="G57" s="104">
        <v>2000</v>
      </c>
      <c r="H57" s="105">
        <f t="shared" si="0"/>
        <v>0</v>
      </c>
      <c r="I57" s="136"/>
      <c r="K57"/>
      <c r="L57"/>
    </row>
    <row r="58" spans="1:12" x14ac:dyDescent="0.25">
      <c r="A58" t="s">
        <v>636</v>
      </c>
      <c r="B58" s="7" t="s">
        <v>750</v>
      </c>
      <c r="D58" t="s">
        <v>556</v>
      </c>
      <c r="F58" s="82">
        <v>875</v>
      </c>
      <c r="G58" s="104">
        <v>875</v>
      </c>
      <c r="H58" s="105">
        <f t="shared" si="0"/>
        <v>0</v>
      </c>
      <c r="I58" s="136"/>
      <c r="K58"/>
      <c r="L58"/>
    </row>
    <row r="59" spans="1:12" x14ac:dyDescent="0.25">
      <c r="A59" t="s">
        <v>637</v>
      </c>
      <c r="B59" s="7" t="s">
        <v>751</v>
      </c>
      <c r="D59" t="s">
        <v>0</v>
      </c>
      <c r="E59" t="s">
        <v>551</v>
      </c>
      <c r="F59" s="82">
        <v>3024</v>
      </c>
      <c r="G59" s="104">
        <v>3024</v>
      </c>
      <c r="H59" s="105">
        <f t="shared" si="0"/>
        <v>0</v>
      </c>
      <c r="I59" s="136"/>
      <c r="K59"/>
      <c r="L59"/>
    </row>
    <row r="60" spans="1:12" x14ac:dyDescent="0.25">
      <c r="A60" t="s">
        <v>638</v>
      </c>
      <c r="B60" s="7" t="s">
        <v>752</v>
      </c>
      <c r="D60" t="s">
        <v>0</v>
      </c>
      <c r="E60" t="s">
        <v>551</v>
      </c>
      <c r="F60" s="82">
        <v>13999.999999999998</v>
      </c>
      <c r="G60" s="104">
        <v>14000</v>
      </c>
      <c r="H60" s="105">
        <f t="shared" si="0"/>
        <v>0</v>
      </c>
      <c r="I60" s="136"/>
      <c r="K60"/>
      <c r="L60"/>
    </row>
    <row r="61" spans="1:12" x14ac:dyDescent="0.25">
      <c r="A61" t="s">
        <v>620</v>
      </c>
      <c r="B61" s="7" t="s">
        <v>753</v>
      </c>
      <c r="D61" t="s">
        <v>555</v>
      </c>
      <c r="E61" s="4">
        <v>46372</v>
      </c>
      <c r="F61" s="83">
        <v>513</v>
      </c>
      <c r="G61" s="104">
        <v>513</v>
      </c>
      <c r="H61" s="105">
        <f t="shared" si="0"/>
        <v>0</v>
      </c>
      <c r="I61" s="7"/>
      <c r="K61"/>
      <c r="L61"/>
    </row>
    <row r="62" spans="1:12" x14ac:dyDescent="0.25">
      <c r="A62" t="s">
        <v>639</v>
      </c>
      <c r="B62" s="7" t="s">
        <v>754</v>
      </c>
      <c r="D62" t="s">
        <v>555</v>
      </c>
      <c r="E62" s="4">
        <v>46373</v>
      </c>
      <c r="F62" s="83">
        <v>83640.899999999994</v>
      </c>
      <c r="G62" s="104">
        <v>83640.899999999994</v>
      </c>
      <c r="H62" s="105">
        <f t="shared" si="0"/>
        <v>0</v>
      </c>
      <c r="I62" s="7"/>
      <c r="K62"/>
      <c r="L62"/>
    </row>
    <row r="63" spans="1:12" x14ac:dyDescent="0.25">
      <c r="A63" s="9" t="s">
        <v>640</v>
      </c>
      <c r="B63" s="134" t="s">
        <v>755</v>
      </c>
      <c r="D63" t="s">
        <v>0</v>
      </c>
      <c r="E63" s="4"/>
      <c r="F63" s="83"/>
      <c r="G63" s="104"/>
      <c r="H63" s="105"/>
      <c r="I63" s="7"/>
      <c r="K63"/>
      <c r="L63"/>
    </row>
    <row r="64" spans="1:12" x14ac:dyDescent="0.25">
      <c r="A64" s="5" t="s">
        <v>641</v>
      </c>
      <c r="B64" s="7" t="s">
        <v>756</v>
      </c>
      <c r="D64" t="s">
        <v>555</v>
      </c>
      <c r="E64" s="4">
        <v>46378</v>
      </c>
      <c r="F64" s="83">
        <v>819389.08</v>
      </c>
      <c r="G64" s="104">
        <v>819389.08</v>
      </c>
      <c r="H64" s="105">
        <f t="shared" ref="H64:H71" si="1">F64-G64</f>
        <v>0</v>
      </c>
      <c r="I64" s="7"/>
      <c r="K64"/>
      <c r="L64"/>
    </row>
    <row r="65" spans="1:12" x14ac:dyDescent="0.25">
      <c r="A65" s="5" t="s">
        <v>641</v>
      </c>
      <c r="B65" s="7" t="s">
        <v>757</v>
      </c>
      <c r="D65" t="s">
        <v>555</v>
      </c>
      <c r="E65" s="4">
        <v>46378</v>
      </c>
      <c r="F65" s="83">
        <v>114542.94</v>
      </c>
      <c r="G65" s="104">
        <v>144542.94</v>
      </c>
      <c r="H65" s="105">
        <f t="shared" si="1"/>
        <v>-30000</v>
      </c>
      <c r="I65" s="7"/>
      <c r="K65"/>
      <c r="L65"/>
    </row>
    <row r="66" spans="1:12" x14ac:dyDescent="0.25">
      <c r="A66" s="5" t="s">
        <v>642</v>
      </c>
      <c r="B66" s="7" t="s">
        <v>758</v>
      </c>
      <c r="D66" t="s">
        <v>555</v>
      </c>
      <c r="E66" s="4">
        <v>46387</v>
      </c>
      <c r="F66" s="83">
        <v>1806000</v>
      </c>
      <c r="G66" s="105">
        <v>1806000</v>
      </c>
      <c r="H66" s="105">
        <f t="shared" si="1"/>
        <v>0</v>
      </c>
      <c r="I66" s="7"/>
      <c r="K66"/>
      <c r="L66"/>
    </row>
    <row r="67" spans="1:12" x14ac:dyDescent="0.25">
      <c r="A67" t="s">
        <v>612</v>
      </c>
      <c r="B67" s="7" t="s">
        <v>759</v>
      </c>
      <c r="D67" t="s">
        <v>555</v>
      </c>
      <c r="F67" s="82">
        <v>113147.99999999999</v>
      </c>
      <c r="G67" s="104">
        <v>113148</v>
      </c>
      <c r="H67" s="105">
        <f t="shared" si="1"/>
        <v>0</v>
      </c>
      <c r="I67" s="136"/>
      <c r="K67"/>
      <c r="L67"/>
    </row>
    <row r="68" spans="1:12" x14ac:dyDescent="0.25">
      <c r="A68" t="s">
        <v>612</v>
      </c>
      <c r="B68" s="7" t="s">
        <v>760</v>
      </c>
      <c r="D68" t="s">
        <v>555</v>
      </c>
      <c r="F68" s="82">
        <v>66087.33</v>
      </c>
      <c r="G68" s="104">
        <v>66087.33</v>
      </c>
      <c r="H68" s="105">
        <f t="shared" si="1"/>
        <v>0</v>
      </c>
      <c r="I68" s="136"/>
      <c r="K68"/>
      <c r="L68"/>
    </row>
    <row r="69" spans="1:12" x14ac:dyDescent="0.25">
      <c r="A69" t="s">
        <v>612</v>
      </c>
      <c r="B69" s="7" t="s">
        <v>761</v>
      </c>
      <c r="D69" t="s">
        <v>555</v>
      </c>
      <c r="F69" s="82">
        <v>105300</v>
      </c>
      <c r="G69" s="104">
        <v>105300</v>
      </c>
      <c r="H69" s="105">
        <f t="shared" si="1"/>
        <v>0</v>
      </c>
      <c r="I69" s="136"/>
      <c r="K69"/>
      <c r="L69"/>
    </row>
    <row r="70" spans="1:12" x14ac:dyDescent="0.25">
      <c r="A70" t="s">
        <v>612</v>
      </c>
      <c r="B70" s="7" t="s">
        <v>762</v>
      </c>
      <c r="D70" t="s">
        <v>555</v>
      </c>
      <c r="F70" s="82">
        <v>32601.599999999995</v>
      </c>
      <c r="G70" s="104">
        <v>32601.599999999999</v>
      </c>
      <c r="H70" s="105">
        <f t="shared" si="1"/>
        <v>0</v>
      </c>
      <c r="I70" s="136"/>
      <c r="K70"/>
      <c r="L70"/>
    </row>
    <row r="71" spans="1:12" x14ac:dyDescent="0.25">
      <c r="A71" t="s">
        <v>612</v>
      </c>
      <c r="B71" s="7" t="s">
        <v>763</v>
      </c>
      <c r="D71" t="s">
        <v>555</v>
      </c>
      <c r="F71" s="82">
        <v>93340.799999999988</v>
      </c>
      <c r="G71" s="104">
        <v>93340.800000000003</v>
      </c>
      <c r="H71" s="105">
        <f t="shared" si="1"/>
        <v>0</v>
      </c>
      <c r="I71" s="136"/>
      <c r="K71"/>
      <c r="L71"/>
    </row>
    <row r="72" spans="1:12" x14ac:dyDescent="0.25">
      <c r="A72" t="s">
        <v>612</v>
      </c>
      <c r="B72" s="7" t="s">
        <v>764</v>
      </c>
      <c r="D72" t="s">
        <v>555</v>
      </c>
      <c r="E72" s="4"/>
      <c r="F72" s="83"/>
      <c r="G72" s="104"/>
      <c r="H72" s="105"/>
      <c r="I72" s="136"/>
      <c r="K72"/>
      <c r="L72"/>
    </row>
    <row r="73" spans="1:12" x14ac:dyDescent="0.25">
      <c r="A73" s="5" t="s">
        <v>642</v>
      </c>
      <c r="B73" s="7" t="s">
        <v>765</v>
      </c>
      <c r="D73" t="s">
        <v>555</v>
      </c>
      <c r="E73" s="4">
        <v>46387</v>
      </c>
      <c r="F73" s="83">
        <v>76651.436663362634</v>
      </c>
      <c r="G73" s="105"/>
      <c r="H73" s="105">
        <f t="shared" ref="H73:H88" si="2">F73-G73</f>
        <v>76651.436663362634</v>
      </c>
      <c r="I73" s="7"/>
      <c r="K73"/>
      <c r="L73"/>
    </row>
    <row r="74" spans="1:12" x14ac:dyDescent="0.25">
      <c r="A74" t="s">
        <v>643</v>
      </c>
      <c r="B74" s="7" t="s">
        <v>766</v>
      </c>
      <c r="D74" t="s">
        <v>555</v>
      </c>
      <c r="E74" s="4">
        <v>46387</v>
      </c>
      <c r="F74" s="83">
        <v>74680.820000000007</v>
      </c>
      <c r="G74" s="104">
        <v>74680.820000000007</v>
      </c>
      <c r="H74" s="105">
        <f t="shared" si="2"/>
        <v>0</v>
      </c>
      <c r="I74" s="7"/>
      <c r="K74"/>
      <c r="L74"/>
    </row>
    <row r="75" spans="1:12" x14ac:dyDescent="0.25">
      <c r="A75" s="11" t="s">
        <v>644</v>
      </c>
      <c r="B75" s="7" t="s">
        <v>767</v>
      </c>
      <c r="D75" t="s">
        <v>555</v>
      </c>
      <c r="E75" s="4">
        <v>46387</v>
      </c>
      <c r="F75" s="83">
        <v>24773.62</v>
      </c>
      <c r="G75" s="104">
        <v>13440</v>
      </c>
      <c r="H75" s="105">
        <f t="shared" si="2"/>
        <v>11333.619999999999</v>
      </c>
      <c r="I75" s="7"/>
      <c r="K75"/>
      <c r="L75"/>
    </row>
    <row r="76" spans="1:12" x14ac:dyDescent="0.25">
      <c r="A76" t="s">
        <v>632</v>
      </c>
      <c r="B76" s="7" t="s">
        <v>768</v>
      </c>
      <c r="D76" t="s">
        <v>555</v>
      </c>
      <c r="E76" s="4">
        <v>46387</v>
      </c>
      <c r="F76" s="83">
        <v>10185</v>
      </c>
      <c r="G76" s="104">
        <v>0</v>
      </c>
      <c r="H76" s="105">
        <f t="shared" si="2"/>
        <v>10185</v>
      </c>
      <c r="I76" s="7"/>
      <c r="K76"/>
      <c r="L76"/>
    </row>
    <row r="77" spans="1:12" x14ac:dyDescent="0.25">
      <c r="A77" t="s">
        <v>618</v>
      </c>
      <c r="B77" s="7" t="s">
        <v>769</v>
      </c>
      <c r="D77" t="s">
        <v>0</v>
      </c>
      <c r="E77" t="s">
        <v>551</v>
      </c>
      <c r="F77" s="82">
        <v>40000</v>
      </c>
      <c r="G77" s="104">
        <v>40000</v>
      </c>
      <c r="H77" s="105">
        <f t="shared" si="2"/>
        <v>0</v>
      </c>
      <c r="I77" s="136"/>
      <c r="K77"/>
      <c r="L77"/>
    </row>
    <row r="78" spans="1:12" x14ac:dyDescent="0.25">
      <c r="A78" t="s">
        <v>645</v>
      </c>
      <c r="B78" s="7" t="s">
        <v>770</v>
      </c>
      <c r="D78" t="s">
        <v>555</v>
      </c>
      <c r="E78" s="4">
        <v>46392</v>
      </c>
      <c r="F78" s="83">
        <v>836817.43</v>
      </c>
      <c r="G78" s="104">
        <v>836817.43</v>
      </c>
      <c r="H78" s="105">
        <f t="shared" si="2"/>
        <v>0</v>
      </c>
      <c r="I78" s="7"/>
      <c r="K78"/>
      <c r="L78"/>
    </row>
    <row r="79" spans="1:12" x14ac:dyDescent="0.25">
      <c r="A79" t="s">
        <v>646</v>
      </c>
      <c r="B79" s="7" t="s">
        <v>771</v>
      </c>
      <c r="D79" t="s">
        <v>555</v>
      </c>
      <c r="E79" s="4">
        <v>46401</v>
      </c>
      <c r="F79" s="83">
        <v>43880.53</v>
      </c>
      <c r="G79" s="104">
        <v>43880.53</v>
      </c>
      <c r="H79" s="105">
        <f t="shared" si="2"/>
        <v>0</v>
      </c>
      <c r="I79" s="7"/>
      <c r="K79"/>
      <c r="L79"/>
    </row>
    <row r="80" spans="1:12" x14ac:dyDescent="0.25">
      <c r="A80" t="s">
        <v>647</v>
      </c>
      <c r="B80" s="7" t="s">
        <v>772</v>
      </c>
      <c r="D80" t="s">
        <v>555</v>
      </c>
      <c r="E80" s="4">
        <v>46401</v>
      </c>
      <c r="F80" s="83">
        <v>678.87</v>
      </c>
      <c r="G80" s="104">
        <v>678.87</v>
      </c>
      <c r="H80" s="105">
        <f t="shared" si="2"/>
        <v>0</v>
      </c>
      <c r="I80" s="7"/>
      <c r="K80"/>
      <c r="L80"/>
    </row>
    <row r="81" spans="1:12" x14ac:dyDescent="0.25">
      <c r="A81" t="s">
        <v>648</v>
      </c>
      <c r="B81" s="7" t="s">
        <v>773</v>
      </c>
      <c r="D81" t="s">
        <v>555</v>
      </c>
      <c r="E81" s="4">
        <v>46406</v>
      </c>
      <c r="F81" s="83">
        <v>2474.14</v>
      </c>
      <c r="G81" s="104">
        <v>2474.14</v>
      </c>
      <c r="H81" s="105">
        <f t="shared" si="2"/>
        <v>0</v>
      </c>
      <c r="I81" s="7"/>
      <c r="K81"/>
      <c r="L81"/>
    </row>
    <row r="82" spans="1:12" x14ac:dyDescent="0.25">
      <c r="A82" s="5" t="s">
        <v>649</v>
      </c>
      <c r="B82" s="7" t="s">
        <v>774</v>
      </c>
      <c r="D82" t="s">
        <v>0</v>
      </c>
      <c r="E82" t="s">
        <v>551</v>
      </c>
      <c r="F82" s="82">
        <v>296008</v>
      </c>
      <c r="G82" s="104">
        <v>296008</v>
      </c>
      <c r="H82" s="105">
        <f t="shared" si="2"/>
        <v>0</v>
      </c>
      <c r="I82" s="136"/>
      <c r="K82"/>
      <c r="L82"/>
    </row>
    <row r="83" spans="1:12" x14ac:dyDescent="0.25">
      <c r="A83" s="9" t="s">
        <v>640</v>
      </c>
      <c r="B83" s="134" t="s">
        <v>775</v>
      </c>
      <c r="D83" t="s">
        <v>555</v>
      </c>
      <c r="E83" s="10">
        <v>46407</v>
      </c>
      <c r="F83" s="107">
        <v>0</v>
      </c>
      <c r="G83" s="104">
        <v>0</v>
      </c>
      <c r="H83" s="105">
        <f t="shared" si="2"/>
        <v>0</v>
      </c>
      <c r="I83" s="7"/>
      <c r="K83"/>
      <c r="L83"/>
    </row>
    <row r="84" spans="1:12" x14ac:dyDescent="0.25">
      <c r="A84" t="s">
        <v>619</v>
      </c>
      <c r="B84" s="7" t="s">
        <v>776</v>
      </c>
      <c r="D84" t="s">
        <v>555</v>
      </c>
      <c r="E84" s="4">
        <v>46407</v>
      </c>
      <c r="F84" s="83">
        <v>1788.49</v>
      </c>
      <c r="G84" s="104">
        <v>1788.49</v>
      </c>
      <c r="H84" s="105">
        <f t="shared" si="2"/>
        <v>0</v>
      </c>
      <c r="I84" s="7"/>
      <c r="K84"/>
      <c r="L84"/>
    </row>
    <row r="85" spans="1:12" x14ac:dyDescent="0.25">
      <c r="A85" s="8" t="s">
        <v>650</v>
      </c>
      <c r="B85" s="135" t="s">
        <v>777</v>
      </c>
      <c r="D85" t="s">
        <v>0</v>
      </c>
      <c r="E85" t="s">
        <v>551</v>
      </c>
      <c r="F85" s="82">
        <v>20620.800000000003</v>
      </c>
      <c r="G85" s="104">
        <v>20620.8</v>
      </c>
      <c r="H85" s="105">
        <f t="shared" si="2"/>
        <v>0</v>
      </c>
      <c r="I85" s="136"/>
      <c r="K85"/>
      <c r="L85"/>
    </row>
    <row r="86" spans="1:12" x14ac:dyDescent="0.25">
      <c r="A86" t="s">
        <v>651</v>
      </c>
      <c r="B86" s="7" t="s">
        <v>778</v>
      </c>
      <c r="D86" t="s">
        <v>556</v>
      </c>
      <c r="F86" s="82">
        <v>10000</v>
      </c>
      <c r="G86" s="104">
        <v>10000</v>
      </c>
      <c r="H86" s="105">
        <f t="shared" si="2"/>
        <v>0</v>
      </c>
      <c r="I86" s="136"/>
      <c r="K86"/>
      <c r="L86"/>
    </row>
    <row r="87" spans="1:12" x14ac:dyDescent="0.25">
      <c r="A87" t="s">
        <v>652</v>
      </c>
      <c r="B87" s="7" t="s">
        <v>779</v>
      </c>
      <c r="D87" t="s">
        <v>555</v>
      </c>
      <c r="E87" s="4">
        <v>46408</v>
      </c>
      <c r="F87" s="83">
        <v>85828.33</v>
      </c>
      <c r="G87" s="104">
        <v>85828.33</v>
      </c>
      <c r="H87" s="105">
        <f t="shared" si="2"/>
        <v>0</v>
      </c>
      <c r="I87" s="7"/>
      <c r="K87"/>
      <c r="L87"/>
    </row>
    <row r="88" spans="1:12" x14ac:dyDescent="0.25">
      <c r="A88" t="s">
        <v>653</v>
      </c>
      <c r="B88" s="7" t="s">
        <v>780</v>
      </c>
      <c r="D88" t="s">
        <v>0</v>
      </c>
      <c r="E88" t="s">
        <v>551</v>
      </c>
      <c r="F88" s="82">
        <v>18000</v>
      </c>
      <c r="G88" s="104">
        <v>18000</v>
      </c>
      <c r="H88" s="105">
        <f t="shared" si="2"/>
        <v>0</v>
      </c>
      <c r="I88" s="136"/>
      <c r="K88"/>
      <c r="L88"/>
    </row>
    <row r="89" spans="1:12" x14ac:dyDescent="0.25">
      <c r="A89" t="s">
        <v>654</v>
      </c>
      <c r="B89" s="7" t="s">
        <v>781</v>
      </c>
      <c r="D89" t="s">
        <v>555</v>
      </c>
      <c r="E89" s="4">
        <v>46412</v>
      </c>
      <c r="F89" s="83">
        <v>420</v>
      </c>
      <c r="G89" s="105">
        <v>179.50684931506851</v>
      </c>
      <c r="H89" s="104">
        <v>0</v>
      </c>
      <c r="I89" s="7"/>
      <c r="K89"/>
      <c r="L89"/>
    </row>
    <row r="90" spans="1:12" x14ac:dyDescent="0.25">
      <c r="A90" t="s">
        <v>655</v>
      </c>
      <c r="B90" s="7" t="s">
        <v>782</v>
      </c>
      <c r="D90" t="s">
        <v>555</v>
      </c>
      <c r="E90" s="4">
        <v>46440</v>
      </c>
      <c r="F90" s="83">
        <v>8702</v>
      </c>
      <c r="G90" s="104">
        <v>8702</v>
      </c>
      <c r="H90" s="105">
        <f t="shared" ref="H90:H111" si="3">F90-G90</f>
        <v>0</v>
      </c>
      <c r="I90" s="7"/>
      <c r="K90"/>
      <c r="L90"/>
    </row>
    <row r="91" spans="1:12" x14ac:dyDescent="0.25">
      <c r="A91" t="s">
        <v>656</v>
      </c>
      <c r="B91" s="7" t="s">
        <v>783</v>
      </c>
      <c r="D91" t="s">
        <v>555</v>
      </c>
      <c r="F91" s="82">
        <v>243750.00000000003</v>
      </c>
      <c r="G91" s="104">
        <v>0</v>
      </c>
      <c r="H91" s="105">
        <f t="shared" si="3"/>
        <v>243750.00000000003</v>
      </c>
      <c r="I91" s="136"/>
      <c r="K91"/>
      <c r="L91"/>
    </row>
    <row r="92" spans="1:12" x14ac:dyDescent="0.25">
      <c r="A92" t="s">
        <v>656</v>
      </c>
      <c r="B92" s="7" t="s">
        <v>784</v>
      </c>
      <c r="D92" t="s">
        <v>555</v>
      </c>
      <c r="F92" s="82">
        <v>121394.15999999997</v>
      </c>
      <c r="G92" s="104">
        <v>121394.16</v>
      </c>
      <c r="H92" s="105">
        <f t="shared" si="3"/>
        <v>0</v>
      </c>
      <c r="I92" s="136"/>
      <c r="K92"/>
      <c r="L92"/>
    </row>
    <row r="93" spans="1:12" x14ac:dyDescent="0.25">
      <c r="A93" t="s">
        <v>656</v>
      </c>
      <c r="B93" s="7" t="s">
        <v>785</v>
      </c>
      <c r="D93" t="s">
        <v>555</v>
      </c>
      <c r="F93" s="82">
        <v>302982.01643835625</v>
      </c>
      <c r="G93" s="104">
        <v>302982.02</v>
      </c>
      <c r="H93" s="105">
        <f t="shared" si="3"/>
        <v>-3.561643767170608E-3</v>
      </c>
      <c r="I93" s="136"/>
      <c r="K93"/>
      <c r="L93"/>
    </row>
    <row r="94" spans="1:12" x14ac:dyDescent="0.25">
      <c r="A94" t="s">
        <v>656</v>
      </c>
      <c r="B94" s="7" t="s">
        <v>786</v>
      </c>
      <c r="D94" t="s">
        <v>555</v>
      </c>
      <c r="F94" s="82">
        <v>2052892.6320547946</v>
      </c>
      <c r="G94" s="104">
        <v>2052892.63</v>
      </c>
      <c r="H94" s="105">
        <f t="shared" si="3"/>
        <v>2.0547946915030479E-3</v>
      </c>
      <c r="I94" s="136"/>
      <c r="K94"/>
      <c r="L94"/>
    </row>
    <row r="95" spans="1:12" x14ac:dyDescent="0.25">
      <c r="A95" t="s">
        <v>656</v>
      </c>
      <c r="B95" s="7" t="s">
        <v>787</v>
      </c>
      <c r="D95" t="s">
        <v>555</v>
      </c>
      <c r="F95" s="82">
        <v>4790082.8047671234</v>
      </c>
      <c r="G95" s="104">
        <v>4790082.8</v>
      </c>
      <c r="H95" s="105">
        <f t="shared" si="3"/>
        <v>4.7671236097812653E-3</v>
      </c>
      <c r="I95" s="136"/>
      <c r="K95"/>
      <c r="L95"/>
    </row>
    <row r="96" spans="1:12" x14ac:dyDescent="0.25">
      <c r="A96" t="s">
        <v>656</v>
      </c>
      <c r="B96" s="7" t="s">
        <v>788</v>
      </c>
      <c r="D96" t="s">
        <v>555</v>
      </c>
      <c r="F96" s="82">
        <v>156240</v>
      </c>
      <c r="G96" s="104">
        <v>156240</v>
      </c>
      <c r="H96" s="105">
        <f t="shared" si="3"/>
        <v>0</v>
      </c>
      <c r="I96" s="136"/>
      <c r="K96"/>
      <c r="L96"/>
    </row>
    <row r="97" spans="1:12" x14ac:dyDescent="0.25">
      <c r="A97" t="s">
        <v>656</v>
      </c>
      <c r="B97" s="7" t="s">
        <v>789</v>
      </c>
      <c r="D97" t="s">
        <v>555</v>
      </c>
      <c r="F97" s="82">
        <v>8257.4449972602742</v>
      </c>
      <c r="G97" s="104">
        <v>8257.44</v>
      </c>
      <c r="H97" s="105">
        <f t="shared" si="3"/>
        <v>4.997260273739812E-3</v>
      </c>
      <c r="I97" s="136"/>
      <c r="K97"/>
      <c r="L97"/>
    </row>
    <row r="98" spans="1:12" x14ac:dyDescent="0.25">
      <c r="A98" t="s">
        <v>656</v>
      </c>
      <c r="B98" s="7" t="s">
        <v>790</v>
      </c>
      <c r="D98" t="s">
        <v>555</v>
      </c>
      <c r="F98" s="82">
        <v>19259.371660273973</v>
      </c>
      <c r="G98" s="104">
        <v>19259.37</v>
      </c>
      <c r="H98" s="105">
        <f t="shared" si="3"/>
        <v>1.6602739742666017E-3</v>
      </c>
      <c r="I98" s="136"/>
      <c r="K98"/>
      <c r="L98"/>
    </row>
    <row r="99" spans="1:12" x14ac:dyDescent="0.25">
      <c r="A99" t="s">
        <v>656</v>
      </c>
      <c r="B99" s="7" t="s">
        <v>791</v>
      </c>
      <c r="D99" t="s">
        <v>555</v>
      </c>
      <c r="F99" s="82">
        <v>29236.719780821917</v>
      </c>
      <c r="G99" s="104">
        <v>29236.720000000001</v>
      </c>
      <c r="H99" s="105">
        <f t="shared" si="3"/>
        <v>-2.1917808408034034E-4</v>
      </c>
      <c r="I99" s="136"/>
      <c r="K99"/>
      <c r="L99"/>
    </row>
    <row r="100" spans="1:12" x14ac:dyDescent="0.25">
      <c r="A100" t="s">
        <v>656</v>
      </c>
      <c r="B100" s="7" t="s">
        <v>792</v>
      </c>
      <c r="D100" t="s">
        <v>555</v>
      </c>
      <c r="F100" s="82">
        <v>43215.109247945191</v>
      </c>
      <c r="G100" s="104">
        <v>43215.11</v>
      </c>
      <c r="H100" s="105">
        <f t="shared" si="3"/>
        <v>-7.5205480970907956E-4</v>
      </c>
      <c r="I100" s="136"/>
      <c r="K100"/>
      <c r="L100"/>
    </row>
    <row r="101" spans="1:12" x14ac:dyDescent="0.25">
      <c r="A101" t="s">
        <v>656</v>
      </c>
      <c r="B101" s="7" t="s">
        <v>793</v>
      </c>
      <c r="D101" t="s">
        <v>555</v>
      </c>
      <c r="F101" s="82">
        <v>100835.24788082189</v>
      </c>
      <c r="G101" s="104">
        <v>100835.25</v>
      </c>
      <c r="H101" s="105">
        <f t="shared" si="3"/>
        <v>-2.1191781124798581E-3</v>
      </c>
      <c r="I101" s="136"/>
      <c r="K101"/>
      <c r="L101"/>
    </row>
    <row r="102" spans="1:12" x14ac:dyDescent="0.25">
      <c r="A102" t="s">
        <v>656</v>
      </c>
      <c r="B102" s="7" t="s">
        <v>794</v>
      </c>
      <c r="D102" t="s">
        <v>555</v>
      </c>
      <c r="F102" s="82">
        <v>11134.462684931506</v>
      </c>
      <c r="G102" s="104">
        <v>11134.46</v>
      </c>
      <c r="H102" s="105">
        <f t="shared" si="3"/>
        <v>2.6849315072468016E-3</v>
      </c>
      <c r="I102" s="136"/>
      <c r="K102"/>
      <c r="L102"/>
    </row>
    <row r="103" spans="1:12" x14ac:dyDescent="0.25">
      <c r="A103" t="s">
        <v>656</v>
      </c>
      <c r="B103" s="7" t="s">
        <v>795</v>
      </c>
      <c r="D103" t="s">
        <v>555</v>
      </c>
      <c r="F103" s="82">
        <v>37543.384615384624</v>
      </c>
      <c r="G103" s="104">
        <v>37543.379999999997</v>
      </c>
      <c r="H103" s="105">
        <f t="shared" si="3"/>
        <v>4.6153846269589849E-3</v>
      </c>
      <c r="I103" s="136"/>
      <c r="K103"/>
      <c r="L103"/>
    </row>
    <row r="104" spans="1:12" x14ac:dyDescent="0.25">
      <c r="A104" t="s">
        <v>657</v>
      </c>
      <c r="B104" s="7" t="s">
        <v>796</v>
      </c>
      <c r="D104" t="s">
        <v>555</v>
      </c>
      <c r="E104" s="4">
        <v>46455</v>
      </c>
      <c r="F104" s="83">
        <v>3088.36</v>
      </c>
      <c r="G104" s="104">
        <v>0</v>
      </c>
      <c r="H104" s="105">
        <f t="shared" si="3"/>
        <v>3088.36</v>
      </c>
      <c r="I104" s="7"/>
    </row>
    <row r="105" spans="1:12" x14ac:dyDescent="0.25">
      <c r="A105" t="s">
        <v>658</v>
      </c>
      <c r="B105" s="7" t="s">
        <v>797</v>
      </c>
      <c r="D105" t="s">
        <v>555</v>
      </c>
      <c r="E105" s="4">
        <v>46458</v>
      </c>
      <c r="F105" s="83">
        <v>500</v>
      </c>
      <c r="G105" s="104">
        <v>880</v>
      </c>
      <c r="H105" s="105">
        <f t="shared" si="3"/>
        <v>-380</v>
      </c>
      <c r="I105" s="7"/>
    </row>
    <row r="106" spans="1:12" x14ac:dyDescent="0.25">
      <c r="A106" t="s">
        <v>659</v>
      </c>
      <c r="B106" s="7" t="s">
        <v>798</v>
      </c>
      <c r="D106" t="s">
        <v>555</v>
      </c>
      <c r="E106" s="4">
        <v>46462</v>
      </c>
      <c r="F106" s="83">
        <v>75140.08</v>
      </c>
      <c r="G106" s="104">
        <v>75140.08</v>
      </c>
      <c r="H106" s="105">
        <f t="shared" si="3"/>
        <v>0</v>
      </c>
      <c r="I106" s="7"/>
    </row>
    <row r="107" spans="1:12" x14ac:dyDescent="0.25">
      <c r="A107" t="s">
        <v>660</v>
      </c>
      <c r="B107" s="7" t="s">
        <v>799</v>
      </c>
      <c r="D107" t="s">
        <v>556</v>
      </c>
      <c r="F107" s="82">
        <v>1377</v>
      </c>
      <c r="G107" s="104">
        <v>1377</v>
      </c>
      <c r="H107" s="105">
        <f t="shared" si="3"/>
        <v>0</v>
      </c>
      <c r="I107" s="136"/>
    </row>
    <row r="108" spans="1:12" x14ac:dyDescent="0.25">
      <c r="A108" t="s">
        <v>661</v>
      </c>
      <c r="B108" s="7" t="s">
        <v>800</v>
      </c>
      <c r="D108" t="s">
        <v>556</v>
      </c>
      <c r="F108" s="82">
        <v>80000</v>
      </c>
      <c r="G108" s="104">
        <v>80000</v>
      </c>
      <c r="H108" s="105">
        <f t="shared" si="3"/>
        <v>0</v>
      </c>
      <c r="I108" s="136"/>
    </row>
    <row r="109" spans="1:12" x14ac:dyDescent="0.25">
      <c r="A109" t="s">
        <v>662</v>
      </c>
      <c r="B109" s="7" t="s">
        <v>801</v>
      </c>
      <c r="D109" t="s">
        <v>556</v>
      </c>
      <c r="F109" s="82">
        <v>2000</v>
      </c>
      <c r="G109" s="104">
        <v>2000</v>
      </c>
      <c r="H109" s="105">
        <f t="shared" si="3"/>
        <v>0</v>
      </c>
      <c r="I109" s="136"/>
    </row>
    <row r="110" spans="1:12" x14ac:dyDescent="0.25">
      <c r="A110" t="s">
        <v>663</v>
      </c>
      <c r="B110" s="7" t="s">
        <v>802</v>
      </c>
      <c r="D110" t="s">
        <v>555</v>
      </c>
      <c r="E110" s="4">
        <v>46476</v>
      </c>
      <c r="F110" s="83">
        <v>116104.27</v>
      </c>
      <c r="G110" s="104">
        <v>116104.27</v>
      </c>
      <c r="H110" s="105">
        <f t="shared" si="3"/>
        <v>0</v>
      </c>
      <c r="I110" s="7"/>
    </row>
    <row r="111" spans="1:12" x14ac:dyDescent="0.25">
      <c r="A111" t="s">
        <v>664</v>
      </c>
      <c r="B111" s="7" t="s">
        <v>803</v>
      </c>
      <c r="D111" t="s">
        <v>0</v>
      </c>
      <c r="E111" t="s">
        <v>551</v>
      </c>
      <c r="F111" s="82">
        <v>99999.999999999985</v>
      </c>
      <c r="G111" s="104">
        <v>100000</v>
      </c>
      <c r="H111" s="105">
        <f t="shared" si="3"/>
        <v>0</v>
      </c>
      <c r="I111" s="136"/>
    </row>
    <row r="112" spans="1:12" x14ac:dyDescent="0.25">
      <c r="A112" t="s">
        <v>654</v>
      </c>
      <c r="B112" s="7" t="s">
        <v>804</v>
      </c>
      <c r="D112" t="s">
        <v>555</v>
      </c>
      <c r="E112" s="4">
        <v>46477</v>
      </c>
      <c r="F112" s="83">
        <v>420</v>
      </c>
      <c r="G112" s="105">
        <v>104.7123287671233</v>
      </c>
      <c r="H112" s="104">
        <v>0</v>
      </c>
      <c r="I112" s="7"/>
    </row>
    <row r="113" spans="1:9" x14ac:dyDescent="0.25">
      <c r="A113" t="s">
        <v>665</v>
      </c>
      <c r="B113" s="7" t="s">
        <v>805</v>
      </c>
      <c r="D113" t="s">
        <v>0</v>
      </c>
      <c r="E113" t="s">
        <v>551</v>
      </c>
      <c r="F113" s="82">
        <v>11550</v>
      </c>
      <c r="G113" s="104">
        <v>11550</v>
      </c>
      <c r="H113" s="105">
        <f t="shared" ref="H113:H139" si="4">F113-G113</f>
        <v>0</v>
      </c>
      <c r="I113" s="136"/>
    </row>
    <row r="114" spans="1:9" x14ac:dyDescent="0.25">
      <c r="A114" t="s">
        <v>666</v>
      </c>
      <c r="B114" s="7" t="s">
        <v>806</v>
      </c>
      <c r="D114" t="s">
        <v>556</v>
      </c>
      <c r="F114" s="82">
        <v>50000</v>
      </c>
      <c r="G114" s="104">
        <v>50000</v>
      </c>
      <c r="H114" s="105">
        <f t="shared" si="4"/>
        <v>0</v>
      </c>
      <c r="I114" s="136"/>
    </row>
    <row r="115" spans="1:9" x14ac:dyDescent="0.25">
      <c r="A115" t="s">
        <v>667</v>
      </c>
      <c r="B115" s="7" t="s">
        <v>807</v>
      </c>
      <c r="D115" t="s">
        <v>555</v>
      </c>
      <c r="E115" s="4">
        <v>46480</v>
      </c>
      <c r="F115" s="83">
        <v>40335.339999999997</v>
      </c>
      <c r="G115" s="104">
        <v>40335.339999999997</v>
      </c>
      <c r="H115" s="105">
        <f t="shared" si="4"/>
        <v>0</v>
      </c>
      <c r="I115" s="7"/>
    </row>
    <row r="116" spans="1:9" x14ac:dyDescent="0.25">
      <c r="A116" t="s">
        <v>668</v>
      </c>
      <c r="B116" s="7" t="s">
        <v>808</v>
      </c>
      <c r="D116" t="s">
        <v>555</v>
      </c>
      <c r="E116" s="4">
        <v>46497</v>
      </c>
      <c r="F116" s="83">
        <v>24960</v>
      </c>
      <c r="G116" s="104">
        <v>24960</v>
      </c>
      <c r="H116" s="105">
        <f t="shared" si="4"/>
        <v>0</v>
      </c>
      <c r="I116" s="7"/>
    </row>
    <row r="117" spans="1:9" x14ac:dyDescent="0.25">
      <c r="A117" t="s">
        <v>669</v>
      </c>
      <c r="B117" s="7" t="s">
        <v>809</v>
      </c>
      <c r="D117" t="s">
        <v>555</v>
      </c>
      <c r="E117" s="4">
        <v>46504</v>
      </c>
      <c r="F117" s="83">
        <v>23040</v>
      </c>
      <c r="G117" s="104">
        <v>23040</v>
      </c>
      <c r="H117" s="105">
        <f t="shared" si="4"/>
        <v>0</v>
      </c>
      <c r="I117" s="7"/>
    </row>
    <row r="118" spans="1:9" x14ac:dyDescent="0.25">
      <c r="A118" t="s">
        <v>670</v>
      </c>
      <c r="B118" s="7" t="s">
        <v>810</v>
      </c>
      <c r="D118" t="s">
        <v>555</v>
      </c>
      <c r="F118" s="82">
        <v>0</v>
      </c>
      <c r="G118" s="104">
        <v>200000</v>
      </c>
      <c r="H118" s="105">
        <f t="shared" si="4"/>
        <v>-200000</v>
      </c>
      <c r="I118" s="136"/>
    </row>
    <row r="119" spans="1:9" x14ac:dyDescent="0.25">
      <c r="A119" t="s">
        <v>671</v>
      </c>
      <c r="B119" s="7" t="s">
        <v>811</v>
      </c>
      <c r="D119" t="s">
        <v>555</v>
      </c>
      <c r="E119" s="4">
        <v>46507</v>
      </c>
      <c r="F119" s="83">
        <v>50400</v>
      </c>
      <c r="G119" s="104">
        <v>30518.48</v>
      </c>
      <c r="H119" s="105">
        <f t="shared" si="4"/>
        <v>19881.52</v>
      </c>
      <c r="I119" s="7"/>
    </row>
    <row r="120" spans="1:9" x14ac:dyDescent="0.25">
      <c r="A120" t="s">
        <v>672</v>
      </c>
      <c r="B120" s="7" t="s">
        <v>812</v>
      </c>
      <c r="D120" t="s">
        <v>0</v>
      </c>
      <c r="E120" t="s">
        <v>551</v>
      </c>
      <c r="F120" s="82">
        <v>42000</v>
      </c>
      <c r="G120" s="104">
        <v>42000</v>
      </c>
      <c r="H120" s="105">
        <f t="shared" si="4"/>
        <v>0</v>
      </c>
      <c r="I120" s="136"/>
    </row>
    <row r="121" spans="1:9" x14ac:dyDescent="0.25">
      <c r="A121" t="s">
        <v>673</v>
      </c>
      <c r="B121" s="7" t="s">
        <v>813</v>
      </c>
      <c r="D121" t="s">
        <v>0</v>
      </c>
      <c r="E121" t="s">
        <v>551</v>
      </c>
      <c r="F121" s="82">
        <v>27999.999999999996</v>
      </c>
      <c r="G121" s="104">
        <v>28000</v>
      </c>
      <c r="H121" s="105">
        <f t="shared" si="4"/>
        <v>0</v>
      </c>
      <c r="I121" s="136"/>
    </row>
    <row r="122" spans="1:9" x14ac:dyDescent="0.25">
      <c r="A122" t="s">
        <v>674</v>
      </c>
      <c r="B122" s="7" t="s">
        <v>814</v>
      </c>
      <c r="D122" t="s">
        <v>556</v>
      </c>
      <c r="F122" s="82">
        <v>186666.67</v>
      </c>
      <c r="G122" s="104">
        <v>186666.67</v>
      </c>
      <c r="H122" s="105">
        <f t="shared" si="4"/>
        <v>0</v>
      </c>
      <c r="I122" s="136"/>
    </row>
    <row r="123" spans="1:9" x14ac:dyDescent="0.25">
      <c r="A123" t="s">
        <v>675</v>
      </c>
      <c r="B123" s="7" t="s">
        <v>815</v>
      </c>
      <c r="D123" t="s">
        <v>555</v>
      </c>
      <c r="E123" s="4">
        <v>46507</v>
      </c>
      <c r="F123" s="83">
        <v>52500</v>
      </c>
      <c r="G123" s="104">
        <v>52500</v>
      </c>
      <c r="H123" s="105">
        <f t="shared" si="4"/>
        <v>0</v>
      </c>
      <c r="I123" s="7"/>
    </row>
    <row r="124" spans="1:9" x14ac:dyDescent="0.25">
      <c r="A124" t="s">
        <v>676</v>
      </c>
      <c r="B124" s="7" t="s">
        <v>816</v>
      </c>
      <c r="D124" t="s">
        <v>0</v>
      </c>
      <c r="E124" t="s">
        <v>551</v>
      </c>
      <c r="F124" s="82">
        <v>7200</v>
      </c>
      <c r="G124" s="104">
        <v>7200</v>
      </c>
      <c r="H124" s="105">
        <f t="shared" si="4"/>
        <v>0</v>
      </c>
      <c r="I124" s="136"/>
    </row>
    <row r="125" spans="1:9" x14ac:dyDescent="0.25">
      <c r="A125" t="s">
        <v>677</v>
      </c>
      <c r="B125" s="7" t="s">
        <v>817</v>
      </c>
      <c r="D125" t="s">
        <v>555</v>
      </c>
      <c r="E125" s="4">
        <v>46511</v>
      </c>
      <c r="F125" s="83">
        <v>13600</v>
      </c>
      <c r="G125" s="104">
        <v>13600</v>
      </c>
      <c r="H125" s="105">
        <f t="shared" si="4"/>
        <v>0</v>
      </c>
      <c r="I125" s="7"/>
    </row>
    <row r="126" spans="1:9" x14ac:dyDescent="0.25">
      <c r="A126" t="s">
        <v>678</v>
      </c>
      <c r="B126" s="7" t="s">
        <v>818</v>
      </c>
      <c r="D126" t="s">
        <v>555</v>
      </c>
      <c r="E126" s="4">
        <v>46516</v>
      </c>
      <c r="F126" s="83">
        <v>0</v>
      </c>
      <c r="G126" s="104">
        <v>691.2</v>
      </c>
      <c r="H126" s="105">
        <f t="shared" si="4"/>
        <v>-691.2</v>
      </c>
      <c r="I126" s="7"/>
    </row>
    <row r="127" spans="1:9" x14ac:dyDescent="0.25">
      <c r="A127" t="s">
        <v>679</v>
      </c>
      <c r="B127" s="7" t="s">
        <v>819</v>
      </c>
      <c r="D127" t="s">
        <v>556</v>
      </c>
      <c r="F127" s="82">
        <v>20000</v>
      </c>
      <c r="G127" s="104">
        <v>20000</v>
      </c>
      <c r="H127" s="105">
        <f t="shared" si="4"/>
        <v>0</v>
      </c>
      <c r="I127" s="136"/>
    </row>
    <row r="128" spans="1:9" x14ac:dyDescent="0.25">
      <c r="A128" s="8" t="s">
        <v>680</v>
      </c>
      <c r="B128" s="7" t="s">
        <v>820</v>
      </c>
      <c r="D128" t="s">
        <v>555</v>
      </c>
      <c r="E128" s="4">
        <v>46520</v>
      </c>
      <c r="F128" s="83">
        <v>0</v>
      </c>
      <c r="G128" s="104">
        <v>162.13999999999999</v>
      </c>
      <c r="H128" s="105">
        <f t="shared" si="4"/>
        <v>-162.13999999999999</v>
      </c>
      <c r="I128" s="7"/>
    </row>
    <row r="129" spans="1:9" x14ac:dyDescent="0.25">
      <c r="A129" t="s">
        <v>618</v>
      </c>
      <c r="B129" s="7" t="s">
        <v>821</v>
      </c>
      <c r="D129" t="s">
        <v>555</v>
      </c>
      <c r="E129" s="4">
        <v>46524</v>
      </c>
      <c r="F129" s="83">
        <v>158909.97</v>
      </c>
      <c r="G129" s="105">
        <v>158909.97</v>
      </c>
      <c r="H129" s="105">
        <f t="shared" si="4"/>
        <v>0</v>
      </c>
      <c r="I129" s="136"/>
    </row>
    <row r="130" spans="1:9" x14ac:dyDescent="0.25">
      <c r="A130" t="s">
        <v>618</v>
      </c>
      <c r="B130" s="7" t="s">
        <v>822</v>
      </c>
      <c r="D130" t="s">
        <v>555</v>
      </c>
      <c r="E130" s="4">
        <v>46524</v>
      </c>
      <c r="F130" s="83">
        <v>566888.67000000004</v>
      </c>
      <c r="G130" s="105">
        <v>566888.67000000004</v>
      </c>
      <c r="H130" s="105">
        <f t="shared" si="4"/>
        <v>0</v>
      </c>
      <c r="I130" s="136"/>
    </row>
    <row r="131" spans="1:9" x14ac:dyDescent="0.25">
      <c r="A131" t="s">
        <v>681</v>
      </c>
      <c r="B131" s="7" t="s">
        <v>823</v>
      </c>
      <c r="D131" t="s">
        <v>0</v>
      </c>
      <c r="E131" t="s">
        <v>551</v>
      </c>
      <c r="F131" s="82">
        <v>29472</v>
      </c>
      <c r="G131" s="104">
        <v>29472</v>
      </c>
      <c r="H131" s="105">
        <f t="shared" si="4"/>
        <v>0</v>
      </c>
      <c r="I131" s="136"/>
    </row>
    <row r="132" spans="1:9" x14ac:dyDescent="0.25">
      <c r="A132" t="s">
        <v>682</v>
      </c>
      <c r="B132" s="7" t="s">
        <v>824</v>
      </c>
      <c r="D132" t="s">
        <v>555</v>
      </c>
      <c r="E132" s="4">
        <v>46528</v>
      </c>
      <c r="F132" s="83">
        <v>41901.42</v>
      </c>
      <c r="G132" s="105">
        <v>41901.42</v>
      </c>
      <c r="H132" s="105">
        <f t="shared" si="4"/>
        <v>0</v>
      </c>
      <c r="I132" s="7"/>
    </row>
    <row r="133" spans="1:9" x14ac:dyDescent="0.25">
      <c r="A133" t="s">
        <v>683</v>
      </c>
      <c r="B133" s="7" t="s">
        <v>825</v>
      </c>
      <c r="D133" t="s">
        <v>555</v>
      </c>
      <c r="E133" s="4">
        <v>46538</v>
      </c>
      <c r="F133" s="83">
        <v>131371.72</v>
      </c>
      <c r="G133" s="105">
        <v>131371.72</v>
      </c>
      <c r="H133" s="105">
        <f t="shared" si="4"/>
        <v>0</v>
      </c>
      <c r="I133" s="7"/>
    </row>
    <row r="134" spans="1:9" x14ac:dyDescent="0.25">
      <c r="A134" t="s">
        <v>684</v>
      </c>
      <c r="B134" s="7" t="s">
        <v>826</v>
      </c>
      <c r="D134" t="s">
        <v>555</v>
      </c>
      <c r="E134" s="4">
        <v>46539</v>
      </c>
      <c r="F134" s="83">
        <v>45000</v>
      </c>
      <c r="G134" s="104">
        <v>16000</v>
      </c>
      <c r="H134" s="105">
        <f t="shared" si="4"/>
        <v>29000</v>
      </c>
      <c r="I134" s="7"/>
    </row>
    <row r="135" spans="1:9" x14ac:dyDescent="0.25">
      <c r="A135" t="s">
        <v>685</v>
      </c>
      <c r="B135" s="7" t="s">
        <v>827</v>
      </c>
      <c r="D135" t="s">
        <v>555</v>
      </c>
      <c r="E135" s="4">
        <v>46540</v>
      </c>
      <c r="F135" s="83">
        <v>16929.2</v>
      </c>
      <c r="G135" s="104">
        <v>16929.2</v>
      </c>
      <c r="H135" s="105">
        <f t="shared" si="4"/>
        <v>0</v>
      </c>
      <c r="I135" s="7"/>
    </row>
    <row r="136" spans="1:9" x14ac:dyDescent="0.25">
      <c r="A136" t="s">
        <v>686</v>
      </c>
      <c r="B136" s="7" t="s">
        <v>828</v>
      </c>
      <c r="D136" t="s">
        <v>555</v>
      </c>
      <c r="E136" s="4">
        <v>46542</v>
      </c>
      <c r="F136" s="83">
        <v>86189.59</v>
      </c>
      <c r="G136" s="104">
        <v>86189.59</v>
      </c>
      <c r="H136" s="105">
        <f t="shared" si="4"/>
        <v>0</v>
      </c>
      <c r="I136" s="7"/>
    </row>
    <row r="137" spans="1:9" x14ac:dyDescent="0.25">
      <c r="A137" t="s">
        <v>687</v>
      </c>
      <c r="B137" s="7" t="s">
        <v>829</v>
      </c>
      <c r="D137" t="s">
        <v>555</v>
      </c>
      <c r="E137" s="4">
        <v>46549</v>
      </c>
      <c r="F137" s="83">
        <v>0</v>
      </c>
      <c r="G137" s="104"/>
      <c r="H137" s="105">
        <f t="shared" si="4"/>
        <v>0</v>
      </c>
      <c r="I137" s="7"/>
    </row>
    <row r="138" spans="1:9" x14ac:dyDescent="0.25">
      <c r="A138" s="5" t="s">
        <v>688</v>
      </c>
      <c r="B138" s="7" t="s">
        <v>830</v>
      </c>
      <c r="D138" t="s">
        <v>555</v>
      </c>
      <c r="E138" s="4">
        <v>46568</v>
      </c>
      <c r="F138" s="83">
        <v>20000</v>
      </c>
      <c r="G138" s="105">
        <v>60752</v>
      </c>
      <c r="H138" s="105">
        <f t="shared" si="4"/>
        <v>-40752</v>
      </c>
      <c r="I138" s="7"/>
    </row>
    <row r="139" spans="1:9" x14ac:dyDescent="0.25">
      <c r="A139" t="s">
        <v>689</v>
      </c>
      <c r="B139" s="7" t="s">
        <v>831</v>
      </c>
      <c r="D139" t="s">
        <v>555</v>
      </c>
      <c r="E139" s="4"/>
      <c r="F139" s="83">
        <v>75000</v>
      </c>
      <c r="G139" s="104">
        <v>40000</v>
      </c>
      <c r="H139" s="105">
        <f t="shared" si="4"/>
        <v>35000</v>
      </c>
      <c r="I139" s="7"/>
    </row>
    <row r="140" spans="1:9" x14ac:dyDescent="0.25">
      <c r="A140" t="s">
        <v>690</v>
      </c>
      <c r="B140" s="7" t="s">
        <v>832</v>
      </c>
      <c r="D140" t="s">
        <v>555</v>
      </c>
      <c r="E140" s="4"/>
      <c r="F140" s="83"/>
      <c r="G140" s="105"/>
      <c r="H140" s="105"/>
      <c r="I140" s="136"/>
    </row>
    <row r="141" spans="1:9" x14ac:dyDescent="0.25">
      <c r="A141" t="s">
        <v>691</v>
      </c>
      <c r="B141" s="7" t="s">
        <v>833</v>
      </c>
      <c r="D141" t="s">
        <v>0</v>
      </c>
      <c r="E141" t="s">
        <v>551</v>
      </c>
      <c r="F141" s="82">
        <v>400</v>
      </c>
      <c r="G141" s="104">
        <v>0</v>
      </c>
      <c r="H141" s="105">
        <f>F141-G141</f>
        <v>400</v>
      </c>
      <c r="I141" s="7"/>
    </row>
    <row r="142" spans="1:9" x14ac:dyDescent="0.25">
      <c r="A142" t="s">
        <v>692</v>
      </c>
      <c r="B142" s="7" t="s">
        <v>834</v>
      </c>
      <c r="D142" t="s">
        <v>555</v>
      </c>
      <c r="E142" s="4"/>
      <c r="F142" s="83">
        <v>116179.08</v>
      </c>
      <c r="G142" s="104">
        <v>116179.08</v>
      </c>
      <c r="H142" s="105">
        <f>F142-G142</f>
        <v>0</v>
      </c>
      <c r="I142" s="7"/>
    </row>
    <row r="143" spans="1:9" x14ac:dyDescent="0.25">
      <c r="A143" t="s">
        <v>693</v>
      </c>
      <c r="B143" s="7" t="s">
        <v>835</v>
      </c>
      <c r="D143" t="s">
        <v>555</v>
      </c>
      <c r="E143" s="4"/>
      <c r="F143" s="83">
        <v>172.5</v>
      </c>
      <c r="G143" s="104">
        <v>172.5</v>
      </c>
      <c r="H143" s="105">
        <f>F143-G143</f>
        <v>0</v>
      </c>
      <c r="I143" s="7"/>
    </row>
    <row r="144" spans="1:9" x14ac:dyDescent="0.25">
      <c r="F144" s="78"/>
    </row>
    <row r="145" spans="6:6" x14ac:dyDescent="0.25">
      <c r="F145" s="78"/>
    </row>
    <row r="146" spans="6:6" x14ac:dyDescent="0.25">
      <c r="F146" s="78"/>
    </row>
    <row r="147" spans="6:6" x14ac:dyDescent="0.25">
      <c r="F147" s="78"/>
    </row>
    <row r="148" spans="6:6" x14ac:dyDescent="0.25">
      <c r="F148" s="78"/>
    </row>
  </sheetData>
  <autoFilter ref="A1:L143" xr:uid="{9ACADEBA-1806-4C2C-9273-D4177427EC4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452F-98FA-4074-8A84-735BEE1CA019}">
  <dimension ref="A1:AC35"/>
  <sheetViews>
    <sheetView workbookViewId="0"/>
    <sheetView workbookViewId="1"/>
  </sheetViews>
  <sheetFormatPr defaultRowHeight="15" x14ac:dyDescent="0.25"/>
  <cols>
    <col min="1" max="1" width="24.42578125" bestFit="1" customWidth="1"/>
    <col min="2" max="2" width="15.28515625" style="78" bestFit="1" customWidth="1"/>
    <col min="3" max="3" width="14.28515625" bestFit="1" customWidth="1"/>
    <col min="4" max="4" width="14.140625" bestFit="1" customWidth="1"/>
    <col min="5" max="5" width="18.28515625" bestFit="1" customWidth="1"/>
    <col min="6" max="6" width="14.5703125" bestFit="1" customWidth="1"/>
    <col min="8" max="8" width="16.5703125" bestFit="1" customWidth="1"/>
    <col min="9" max="9" width="37" bestFit="1" customWidth="1"/>
    <col min="10" max="10" width="23.42578125" bestFit="1" customWidth="1"/>
    <col min="11" max="11" width="14.28515625" bestFit="1" customWidth="1"/>
    <col min="12" max="13" width="12.5703125" bestFit="1" customWidth="1"/>
    <col min="14" max="14" width="14.28515625" bestFit="1" customWidth="1"/>
    <col min="15" max="22" width="12.5703125" bestFit="1" customWidth="1"/>
    <col min="23" max="27" width="14.28515625" bestFit="1" customWidth="1"/>
    <col min="29" max="29" width="13.5703125" bestFit="1" customWidth="1"/>
  </cols>
  <sheetData>
    <row r="1" spans="1:29" x14ac:dyDescent="0.25">
      <c r="B1" s="8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97" t="s">
        <v>6</v>
      </c>
      <c r="I1" s="97" t="s">
        <v>7</v>
      </c>
      <c r="J1" s="97" t="s">
        <v>8</v>
      </c>
      <c r="K1" s="90">
        <v>46204</v>
      </c>
      <c r="L1" s="90">
        <v>46235</v>
      </c>
      <c r="M1" s="90">
        <v>46266</v>
      </c>
      <c r="N1" s="90">
        <v>46296</v>
      </c>
      <c r="O1" s="90">
        <v>46327</v>
      </c>
      <c r="P1" s="90">
        <v>46357</v>
      </c>
      <c r="Q1" s="90">
        <v>46388</v>
      </c>
      <c r="R1" s="90">
        <v>46419</v>
      </c>
      <c r="S1" s="90">
        <v>46447</v>
      </c>
      <c r="T1" s="90">
        <v>46478</v>
      </c>
      <c r="U1" s="90">
        <v>46508</v>
      </c>
      <c r="V1" s="90">
        <v>46539</v>
      </c>
      <c r="W1" s="102" t="s">
        <v>9</v>
      </c>
      <c r="X1" s="91" t="s">
        <v>10</v>
      </c>
      <c r="Y1" s="91" t="s">
        <v>11</v>
      </c>
      <c r="Z1" s="91" t="s">
        <v>12</v>
      </c>
      <c r="AA1" s="93" t="s">
        <v>13</v>
      </c>
    </row>
    <row r="2" spans="1:29" x14ac:dyDescent="0.25">
      <c r="A2" s="1" t="s">
        <v>14</v>
      </c>
      <c r="B2" s="81"/>
      <c r="H2" s="98" t="s">
        <v>0</v>
      </c>
      <c r="I2" s="98" t="s">
        <v>15</v>
      </c>
      <c r="J2" s="98" t="s">
        <v>16</v>
      </c>
      <c r="K2" s="84">
        <v>606800</v>
      </c>
      <c r="L2" s="84">
        <v>0</v>
      </c>
      <c r="M2" s="84">
        <v>0</v>
      </c>
      <c r="N2" s="84">
        <v>0</v>
      </c>
      <c r="O2" s="84">
        <v>0</v>
      </c>
      <c r="P2" s="84">
        <v>0</v>
      </c>
      <c r="Q2" s="84">
        <v>0</v>
      </c>
      <c r="R2" s="84">
        <v>0</v>
      </c>
      <c r="S2" s="84">
        <v>0</v>
      </c>
      <c r="T2" s="84">
        <v>0</v>
      </c>
      <c r="U2" s="84">
        <v>0</v>
      </c>
      <c r="V2" s="84">
        <v>0</v>
      </c>
      <c r="W2" s="101">
        <f t="shared" ref="W2:W26" si="0">SUM(K2:M2)</f>
        <v>606800</v>
      </c>
      <c r="X2" s="92">
        <f t="shared" ref="X2:X26" si="1">SUM(N2:P2)</f>
        <v>0</v>
      </c>
      <c r="Y2" s="92">
        <f t="shared" ref="Y2:Y26" si="2">SUM(Q2:S2)</f>
        <v>0</v>
      </c>
      <c r="Z2" s="92">
        <f t="shared" ref="Z2:Z26" si="3">SUM(T2:V2)</f>
        <v>0</v>
      </c>
      <c r="AA2" s="79">
        <f>SUM(W2:Z2)</f>
        <v>606800</v>
      </c>
      <c r="AC2" s="1" t="s">
        <v>17</v>
      </c>
    </row>
    <row r="3" spans="1:29" x14ac:dyDescent="0.25">
      <c r="A3" t="s">
        <v>18</v>
      </c>
      <c r="B3" s="82" t="e">
        <f>SUM(#REF!)</f>
        <v>#REF!</v>
      </c>
      <c r="C3" s="82" t="e">
        <f>SUM(#REF!)</f>
        <v>#REF!</v>
      </c>
      <c r="D3" s="82" t="e">
        <f>SUM(#REF!)</f>
        <v>#REF!</v>
      </c>
      <c r="E3" s="83" t="e">
        <f>B3+C3+D3</f>
        <v>#REF!</v>
      </c>
      <c r="F3" s="83" t="e">
        <f>B3-E3</f>
        <v>#REF!</v>
      </c>
      <c r="H3" s="98" t="s">
        <v>0</v>
      </c>
      <c r="I3" s="98" t="s">
        <v>19</v>
      </c>
      <c r="J3" s="98" t="s">
        <v>20</v>
      </c>
      <c r="K3" s="85">
        <v>20620.8</v>
      </c>
      <c r="L3" s="84">
        <v>0</v>
      </c>
      <c r="M3" s="84">
        <v>0</v>
      </c>
      <c r="N3" s="84">
        <v>0</v>
      </c>
      <c r="O3" s="84">
        <v>0</v>
      </c>
      <c r="P3" s="84">
        <v>0</v>
      </c>
      <c r="Q3" s="84">
        <v>0</v>
      </c>
      <c r="R3" s="84">
        <v>0</v>
      </c>
      <c r="S3" s="84">
        <v>0</v>
      </c>
      <c r="T3" s="84">
        <v>0</v>
      </c>
      <c r="U3" s="84">
        <v>0</v>
      </c>
      <c r="V3" s="84">
        <v>0</v>
      </c>
      <c r="W3" s="101">
        <f t="shared" si="0"/>
        <v>20620.8</v>
      </c>
      <c r="X3" s="92">
        <f t="shared" si="1"/>
        <v>0</v>
      </c>
      <c r="Y3" s="92">
        <f t="shared" si="2"/>
        <v>0</v>
      </c>
      <c r="Z3" s="92">
        <f t="shared" si="3"/>
        <v>0</v>
      </c>
      <c r="AA3" s="79">
        <f t="shared" ref="AA3:AA26" si="4">W3+X3+Y3+Z3</f>
        <v>20620.8</v>
      </c>
      <c r="AC3" t="s">
        <v>21</v>
      </c>
    </row>
    <row r="4" spans="1:29" x14ac:dyDescent="0.25">
      <c r="A4" t="s">
        <v>0</v>
      </c>
      <c r="B4" s="82" t="e">
        <f>SUM(#REF!)</f>
        <v>#REF!</v>
      </c>
      <c r="C4" s="78" t="e">
        <f>SUM(#REF!)</f>
        <v>#REF!</v>
      </c>
      <c r="D4" s="82" t="e">
        <f>SUM(#REF!)</f>
        <v>#REF!</v>
      </c>
      <c r="E4" s="83" t="e">
        <f t="shared" ref="E4:E7" si="5">B4+C4+D4</f>
        <v>#REF!</v>
      </c>
      <c r="F4" s="83" t="e">
        <f t="shared" ref="F4:F7" si="6">B4-E4</f>
        <v>#REF!</v>
      </c>
      <c r="H4" s="98" t="s">
        <v>22</v>
      </c>
      <c r="I4" s="98" t="s">
        <v>23</v>
      </c>
      <c r="J4" s="98" t="s">
        <v>20</v>
      </c>
      <c r="K4" s="84">
        <v>24798</v>
      </c>
      <c r="L4" s="84">
        <v>0</v>
      </c>
      <c r="M4" s="84">
        <v>0</v>
      </c>
      <c r="N4" s="84">
        <v>0</v>
      </c>
      <c r="O4" s="84">
        <v>0</v>
      </c>
      <c r="P4" s="84">
        <v>0</v>
      </c>
      <c r="Q4" s="84">
        <v>0</v>
      </c>
      <c r="R4" s="84">
        <v>0</v>
      </c>
      <c r="S4" s="84">
        <v>0</v>
      </c>
      <c r="T4" s="84">
        <v>0</v>
      </c>
      <c r="U4" s="84">
        <v>0</v>
      </c>
      <c r="V4" s="84">
        <v>0</v>
      </c>
      <c r="W4" s="101">
        <f t="shared" si="0"/>
        <v>24798</v>
      </c>
      <c r="X4" s="92">
        <f t="shared" si="1"/>
        <v>0</v>
      </c>
      <c r="Y4" s="92">
        <f t="shared" si="2"/>
        <v>0</v>
      </c>
      <c r="Z4" s="92">
        <f t="shared" si="3"/>
        <v>0</v>
      </c>
      <c r="AA4" s="79">
        <f t="shared" si="4"/>
        <v>24798</v>
      </c>
      <c r="AC4" t="s">
        <v>24</v>
      </c>
    </row>
    <row r="5" spans="1:29" x14ac:dyDescent="0.25">
      <c r="A5" t="s">
        <v>25</v>
      </c>
      <c r="B5" s="82" t="e">
        <f>SUM(#REF!)</f>
        <v>#REF!</v>
      </c>
      <c r="C5" s="82" t="e">
        <f>SUM(#REF!)</f>
        <v>#REF!</v>
      </c>
      <c r="D5" s="82" t="e">
        <f>SUM(#REF!)</f>
        <v>#REF!</v>
      </c>
      <c r="E5" s="83" t="e">
        <f t="shared" si="5"/>
        <v>#REF!</v>
      </c>
      <c r="F5" s="83" t="e">
        <f t="shared" si="6"/>
        <v>#REF!</v>
      </c>
      <c r="H5" s="98" t="s">
        <v>18</v>
      </c>
      <c r="I5" s="98" t="s">
        <v>26</v>
      </c>
      <c r="J5" s="98" t="s">
        <v>27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415000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101">
        <f t="shared" si="0"/>
        <v>0</v>
      </c>
      <c r="X5" s="92">
        <f t="shared" si="1"/>
        <v>0</v>
      </c>
      <c r="Y5" s="92">
        <f t="shared" si="2"/>
        <v>415000</v>
      </c>
      <c r="Z5" s="92">
        <f t="shared" si="3"/>
        <v>0</v>
      </c>
      <c r="AA5" s="79">
        <f t="shared" si="4"/>
        <v>415000</v>
      </c>
      <c r="AC5" t="s">
        <v>28</v>
      </c>
    </row>
    <row r="6" spans="1:29" x14ac:dyDescent="0.25">
      <c r="A6" t="s">
        <v>29</v>
      </c>
      <c r="B6" s="82" t="e">
        <f>SUM(#REF!)</f>
        <v>#REF!</v>
      </c>
      <c r="C6" s="82" t="e">
        <f>SUM(#REF!)</f>
        <v>#REF!</v>
      </c>
      <c r="D6" s="82" t="e">
        <f>SUM(#REF!)</f>
        <v>#REF!</v>
      </c>
      <c r="E6" s="83" t="e">
        <f t="shared" si="5"/>
        <v>#REF!</v>
      </c>
      <c r="F6" s="83" t="e">
        <f t="shared" si="6"/>
        <v>#REF!</v>
      </c>
      <c r="H6" s="98" t="s">
        <v>18</v>
      </c>
      <c r="I6" s="98" t="s">
        <v>30</v>
      </c>
      <c r="J6" s="98" t="s">
        <v>27</v>
      </c>
      <c r="K6" s="84">
        <v>0</v>
      </c>
      <c r="L6" s="84">
        <v>0</v>
      </c>
      <c r="M6" s="84">
        <v>0</v>
      </c>
      <c r="N6" s="84">
        <v>0</v>
      </c>
      <c r="O6" s="84">
        <v>0</v>
      </c>
      <c r="P6" s="84">
        <v>0</v>
      </c>
      <c r="Q6" s="84">
        <v>75000</v>
      </c>
      <c r="R6" s="84">
        <v>0</v>
      </c>
      <c r="S6" s="84">
        <v>0</v>
      </c>
      <c r="T6" s="84">
        <v>0</v>
      </c>
      <c r="U6" s="84">
        <v>0</v>
      </c>
      <c r="V6" s="84">
        <v>0</v>
      </c>
      <c r="W6" s="101">
        <f t="shared" si="0"/>
        <v>0</v>
      </c>
      <c r="X6" s="92">
        <f t="shared" si="1"/>
        <v>0</v>
      </c>
      <c r="Y6" s="92">
        <f t="shared" si="2"/>
        <v>75000</v>
      </c>
      <c r="Z6" s="92">
        <f t="shared" si="3"/>
        <v>0</v>
      </c>
      <c r="AA6" s="79">
        <f t="shared" si="4"/>
        <v>75000</v>
      </c>
      <c r="AC6" t="s">
        <v>31</v>
      </c>
    </row>
    <row r="7" spans="1:29" x14ac:dyDescent="0.25">
      <c r="A7" t="s">
        <v>32</v>
      </c>
      <c r="B7" s="82" t="e">
        <f>SUM(#REF!)</f>
        <v>#REF!</v>
      </c>
      <c r="C7" s="82" t="e">
        <f>SUM(#REF!)</f>
        <v>#REF!</v>
      </c>
      <c r="D7" s="82" t="e">
        <f>SUM(#REF!)</f>
        <v>#REF!</v>
      </c>
      <c r="E7" s="83" t="e">
        <f t="shared" si="5"/>
        <v>#REF!</v>
      </c>
      <c r="F7" s="83" t="e">
        <f t="shared" si="6"/>
        <v>#REF!</v>
      </c>
      <c r="H7" s="98" t="s">
        <v>18</v>
      </c>
      <c r="I7" s="98" t="s">
        <v>33</v>
      </c>
      <c r="J7" s="98" t="s">
        <v>34</v>
      </c>
      <c r="K7" s="84">
        <v>31644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101">
        <f t="shared" si="0"/>
        <v>31644</v>
      </c>
      <c r="X7" s="92">
        <f t="shared" si="1"/>
        <v>0</v>
      </c>
      <c r="Y7" s="92">
        <f t="shared" si="2"/>
        <v>0</v>
      </c>
      <c r="Z7" s="92">
        <f t="shared" si="3"/>
        <v>0</v>
      </c>
      <c r="AA7" s="79">
        <f t="shared" si="4"/>
        <v>31644</v>
      </c>
      <c r="AC7" t="s">
        <v>35</v>
      </c>
    </row>
    <row r="8" spans="1:29" x14ac:dyDescent="0.25">
      <c r="A8" s="1" t="s">
        <v>36</v>
      </c>
      <c r="B8" s="86" t="e">
        <f>SUM(B3:B7)</f>
        <v>#REF!</v>
      </c>
      <c r="C8" s="88" t="e">
        <f>SUM(C3:C7)</f>
        <v>#REF!</v>
      </c>
      <c r="D8" s="88" t="e">
        <f>SUM(D3:D7)</f>
        <v>#REF!</v>
      </c>
      <c r="E8" s="88" t="e">
        <f>SUM(E3:E7)</f>
        <v>#REF!</v>
      </c>
      <c r="F8" s="88" t="e">
        <f>SUM(F3:F7)</f>
        <v>#REF!</v>
      </c>
      <c r="H8" s="98" t="s">
        <v>18</v>
      </c>
      <c r="I8" s="98" t="s">
        <v>37</v>
      </c>
      <c r="J8" s="98" t="s">
        <v>27</v>
      </c>
      <c r="K8" s="84">
        <v>0</v>
      </c>
      <c r="L8" s="84">
        <v>20000</v>
      </c>
      <c r="M8" s="84">
        <v>0</v>
      </c>
      <c r="N8" s="84">
        <v>0</v>
      </c>
      <c r="O8" s="84">
        <v>0</v>
      </c>
      <c r="P8" s="84">
        <v>0</v>
      </c>
      <c r="Q8" s="84">
        <v>0</v>
      </c>
      <c r="R8" s="84">
        <v>0</v>
      </c>
      <c r="S8" s="84">
        <v>0</v>
      </c>
      <c r="T8" s="84">
        <v>0</v>
      </c>
      <c r="U8" s="84">
        <v>0</v>
      </c>
      <c r="V8" s="84">
        <v>0</v>
      </c>
      <c r="W8" s="101">
        <f t="shared" si="0"/>
        <v>20000</v>
      </c>
      <c r="X8" s="92">
        <f t="shared" si="1"/>
        <v>0</v>
      </c>
      <c r="Y8" s="92">
        <f t="shared" si="2"/>
        <v>0</v>
      </c>
      <c r="Z8" s="92">
        <f t="shared" si="3"/>
        <v>0</v>
      </c>
      <c r="AA8" s="79">
        <f t="shared" si="4"/>
        <v>20000</v>
      </c>
      <c r="AC8" t="s">
        <v>38</v>
      </c>
    </row>
    <row r="9" spans="1:29" x14ac:dyDescent="0.25">
      <c r="A9" s="1"/>
      <c r="B9" s="82"/>
      <c r="H9" s="98" t="s">
        <v>18</v>
      </c>
      <c r="I9" s="98" t="s">
        <v>39</v>
      </c>
      <c r="J9" s="98" t="s">
        <v>20</v>
      </c>
      <c r="K9" s="84">
        <v>33330.36</v>
      </c>
      <c r="L9" s="84">
        <v>0</v>
      </c>
      <c r="M9" s="84">
        <v>0</v>
      </c>
      <c r="N9" s="84">
        <v>0</v>
      </c>
      <c r="O9" s="84">
        <v>0</v>
      </c>
      <c r="P9" s="84">
        <v>0</v>
      </c>
      <c r="Q9" s="84">
        <v>0</v>
      </c>
      <c r="R9" s="84">
        <v>0</v>
      </c>
      <c r="S9" s="84">
        <v>0</v>
      </c>
      <c r="T9" s="84">
        <v>0</v>
      </c>
      <c r="U9" s="84">
        <v>0</v>
      </c>
      <c r="V9" s="84">
        <v>0</v>
      </c>
      <c r="W9" s="101">
        <f t="shared" si="0"/>
        <v>33330.36</v>
      </c>
      <c r="X9" s="92">
        <f t="shared" si="1"/>
        <v>0</v>
      </c>
      <c r="Y9" s="92">
        <f t="shared" si="2"/>
        <v>0</v>
      </c>
      <c r="Z9" s="92">
        <f t="shared" si="3"/>
        <v>0</v>
      </c>
      <c r="AA9" s="79">
        <f t="shared" si="4"/>
        <v>33330.36</v>
      </c>
    </row>
    <row r="10" spans="1:29" x14ac:dyDescent="0.25">
      <c r="A10" s="1" t="s">
        <v>40</v>
      </c>
      <c r="B10" s="82"/>
      <c r="H10" s="98" t="s">
        <v>18</v>
      </c>
      <c r="I10" s="98" t="s">
        <v>41</v>
      </c>
      <c r="J10" s="98" t="s">
        <v>20</v>
      </c>
      <c r="K10" s="84">
        <v>13440</v>
      </c>
      <c r="L10" s="84">
        <v>0</v>
      </c>
      <c r="M10" s="84">
        <v>0</v>
      </c>
      <c r="N10" s="84">
        <v>0</v>
      </c>
      <c r="O10" s="84">
        <v>0</v>
      </c>
      <c r="P10" s="84">
        <v>0</v>
      </c>
      <c r="Q10" s="84">
        <v>0</v>
      </c>
      <c r="R10" s="84">
        <v>0</v>
      </c>
      <c r="S10" s="84">
        <v>0</v>
      </c>
      <c r="T10" s="84">
        <v>0</v>
      </c>
      <c r="U10" s="84">
        <v>0</v>
      </c>
      <c r="V10" s="84">
        <v>0</v>
      </c>
      <c r="W10" s="101">
        <f t="shared" si="0"/>
        <v>13440</v>
      </c>
      <c r="X10" s="92">
        <f t="shared" si="1"/>
        <v>0</v>
      </c>
      <c r="Y10" s="92">
        <f t="shared" si="2"/>
        <v>0</v>
      </c>
      <c r="Z10" s="92">
        <f t="shared" si="3"/>
        <v>0</v>
      </c>
      <c r="AA10" s="79">
        <f t="shared" si="4"/>
        <v>13440</v>
      </c>
    </row>
    <row r="11" spans="1:29" x14ac:dyDescent="0.25">
      <c r="A11" t="s">
        <v>42</v>
      </c>
      <c r="B11" s="82" t="e">
        <f>SUM(#REF!)</f>
        <v>#REF!</v>
      </c>
      <c r="C11" s="82" t="e">
        <f>SUM(#REF!)</f>
        <v>#REF!</v>
      </c>
      <c r="D11" s="82" t="e">
        <f>SUM(#REF!)</f>
        <v>#REF!</v>
      </c>
      <c r="E11" s="83" t="e">
        <f t="shared" ref="E11:E14" si="7">B11+C11+D11</f>
        <v>#REF!</v>
      </c>
      <c r="F11" s="83" t="e">
        <f t="shared" ref="F11:F14" si="8">B11-E11</f>
        <v>#REF!</v>
      </c>
      <c r="H11" s="98" t="s">
        <v>18</v>
      </c>
      <c r="I11" s="98" t="s">
        <v>43</v>
      </c>
      <c r="J11" s="98" t="s">
        <v>20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5">
        <v>23871.53</v>
      </c>
      <c r="V11" s="84">
        <v>0</v>
      </c>
      <c r="W11" s="101">
        <f t="shared" si="0"/>
        <v>0</v>
      </c>
      <c r="X11" s="92">
        <f t="shared" si="1"/>
        <v>0</v>
      </c>
      <c r="Y11" s="92">
        <f t="shared" si="2"/>
        <v>0</v>
      </c>
      <c r="Z11" s="92">
        <f t="shared" si="3"/>
        <v>23871.53</v>
      </c>
      <c r="AA11" s="79">
        <f t="shared" si="4"/>
        <v>23871.53</v>
      </c>
    </row>
    <row r="12" spans="1:29" x14ac:dyDescent="0.25">
      <c r="A12" t="s">
        <v>44</v>
      </c>
      <c r="B12" s="82" t="e">
        <f>SUM(#REF!)</f>
        <v>#REF!</v>
      </c>
      <c r="C12" s="82" t="e">
        <f>SUM(#REF!)</f>
        <v>#REF!</v>
      </c>
      <c r="D12" s="82" t="e">
        <f>SUM(#REF!)</f>
        <v>#REF!</v>
      </c>
      <c r="E12" s="83" t="e">
        <f t="shared" si="7"/>
        <v>#REF!</v>
      </c>
      <c r="F12" s="83" t="e">
        <f t="shared" si="8"/>
        <v>#REF!</v>
      </c>
      <c r="H12" s="98" t="s">
        <v>18</v>
      </c>
      <c r="I12" s="98" t="s">
        <v>45</v>
      </c>
      <c r="J12" s="98" t="s">
        <v>20</v>
      </c>
      <c r="K12" s="84">
        <v>588</v>
      </c>
      <c r="L12" s="84">
        <v>0</v>
      </c>
      <c r="M12" s="84">
        <v>0</v>
      </c>
      <c r="N12" s="84">
        <v>0</v>
      </c>
      <c r="O12" s="84">
        <v>0</v>
      </c>
      <c r="P12" s="84">
        <v>0</v>
      </c>
      <c r="Q12" s="84">
        <v>0</v>
      </c>
      <c r="R12" s="84">
        <v>0</v>
      </c>
      <c r="S12" s="84">
        <v>0</v>
      </c>
      <c r="T12" s="84">
        <v>0</v>
      </c>
      <c r="U12" s="84">
        <v>0</v>
      </c>
      <c r="V12" s="84">
        <v>0</v>
      </c>
      <c r="W12" s="101">
        <f t="shared" si="0"/>
        <v>588</v>
      </c>
      <c r="X12" s="92">
        <f t="shared" si="1"/>
        <v>0</v>
      </c>
      <c r="Y12" s="92">
        <f t="shared" si="2"/>
        <v>0</v>
      </c>
      <c r="Z12" s="92">
        <f t="shared" si="3"/>
        <v>0</v>
      </c>
      <c r="AA12" s="79">
        <f t="shared" si="4"/>
        <v>588</v>
      </c>
    </row>
    <row r="13" spans="1:29" x14ac:dyDescent="0.25">
      <c r="A13" t="s">
        <v>46</v>
      </c>
      <c r="B13" s="78" t="e">
        <f>SUM(#REF!)</f>
        <v>#REF!</v>
      </c>
      <c r="C13" s="78" t="e">
        <f>SUM(#REF!)</f>
        <v>#REF!</v>
      </c>
      <c r="D13" s="78" t="e">
        <f>SUM(#REF!)</f>
        <v>#REF!</v>
      </c>
      <c r="E13" s="83" t="e">
        <f t="shared" si="7"/>
        <v>#REF!</v>
      </c>
      <c r="F13" s="83" t="e">
        <f t="shared" si="8"/>
        <v>#REF!</v>
      </c>
      <c r="H13" s="98" t="s">
        <v>18</v>
      </c>
      <c r="I13" s="98" t="s">
        <v>47</v>
      </c>
      <c r="J13" s="98" t="s">
        <v>27</v>
      </c>
      <c r="K13" s="84">
        <v>30000</v>
      </c>
      <c r="L13" s="84">
        <v>0</v>
      </c>
      <c r="M13" s="84">
        <v>0</v>
      </c>
      <c r="N13" s="84">
        <v>0</v>
      </c>
      <c r="O13" s="84">
        <v>0</v>
      </c>
      <c r="P13" s="84">
        <v>0</v>
      </c>
      <c r="Q13" s="84">
        <v>0</v>
      </c>
      <c r="R13" s="84">
        <v>0</v>
      </c>
      <c r="S13" s="84">
        <v>0</v>
      </c>
      <c r="T13" s="84">
        <v>0</v>
      </c>
      <c r="U13" s="84">
        <v>0</v>
      </c>
      <c r="V13" s="84">
        <v>0</v>
      </c>
      <c r="W13" s="101">
        <f t="shared" si="0"/>
        <v>30000</v>
      </c>
      <c r="X13" s="92">
        <f t="shared" si="1"/>
        <v>0</v>
      </c>
      <c r="Y13" s="92">
        <f t="shared" si="2"/>
        <v>0</v>
      </c>
      <c r="Z13" s="92">
        <f t="shared" si="3"/>
        <v>0</v>
      </c>
      <c r="AA13" s="79">
        <f t="shared" si="4"/>
        <v>30000</v>
      </c>
    </row>
    <row r="14" spans="1:29" x14ac:dyDescent="0.25">
      <c r="A14" t="s">
        <v>48</v>
      </c>
      <c r="B14" s="82" t="e">
        <f>SUM(#REF!)</f>
        <v>#REF!</v>
      </c>
      <c r="C14" s="82" t="e">
        <f>SUM(#REF!)</f>
        <v>#REF!</v>
      </c>
      <c r="D14" s="82" t="e">
        <f>SUM(#REF!)</f>
        <v>#REF!</v>
      </c>
      <c r="E14" s="83" t="e">
        <f t="shared" si="7"/>
        <v>#REF!</v>
      </c>
      <c r="F14" s="83" t="e">
        <f t="shared" si="8"/>
        <v>#REF!</v>
      </c>
      <c r="H14" s="98" t="s">
        <v>18</v>
      </c>
      <c r="I14" s="98" t="s">
        <v>49</v>
      </c>
      <c r="J14" s="98" t="s">
        <v>27</v>
      </c>
      <c r="K14" s="84">
        <v>0</v>
      </c>
      <c r="L14" s="84">
        <v>0</v>
      </c>
      <c r="M14" s="84">
        <v>0</v>
      </c>
      <c r="N14" s="84">
        <v>0</v>
      </c>
      <c r="O14" s="84">
        <v>0</v>
      </c>
      <c r="P14" s="84">
        <v>0</v>
      </c>
      <c r="Q14" s="84">
        <v>11000</v>
      </c>
      <c r="R14" s="84">
        <v>0</v>
      </c>
      <c r="S14" s="84">
        <v>0</v>
      </c>
      <c r="T14" s="84">
        <v>0</v>
      </c>
      <c r="U14" s="84">
        <v>0</v>
      </c>
      <c r="V14" s="84">
        <v>0</v>
      </c>
      <c r="W14" s="101">
        <f t="shared" si="0"/>
        <v>0</v>
      </c>
      <c r="X14" s="92">
        <f t="shared" si="1"/>
        <v>0</v>
      </c>
      <c r="Y14" s="92">
        <f t="shared" si="2"/>
        <v>11000</v>
      </c>
      <c r="Z14" s="92">
        <f t="shared" si="3"/>
        <v>0</v>
      </c>
      <c r="AA14" s="79">
        <f t="shared" si="4"/>
        <v>11000</v>
      </c>
    </row>
    <row r="15" spans="1:29" x14ac:dyDescent="0.25">
      <c r="A15" s="1" t="s">
        <v>50</v>
      </c>
      <c r="B15" s="86" t="e">
        <f>SUM(B11:B14)</f>
        <v>#REF!</v>
      </c>
      <c r="C15" s="88" t="e">
        <f>SUM(C11:C14)</f>
        <v>#REF!</v>
      </c>
      <c r="D15" s="88" t="e">
        <f>SUM(D11:D14)</f>
        <v>#REF!</v>
      </c>
      <c r="E15" s="88" t="e">
        <f>SUM(E11:E14)</f>
        <v>#REF!</v>
      </c>
      <c r="F15" s="88" t="e">
        <f>SUM(F11:F14)</f>
        <v>#REF!</v>
      </c>
      <c r="H15" s="98" t="s">
        <v>18</v>
      </c>
      <c r="I15" s="98" t="s">
        <v>51</v>
      </c>
      <c r="J15" s="98" t="s">
        <v>27</v>
      </c>
      <c r="K15" s="84">
        <v>0</v>
      </c>
      <c r="L15" s="84">
        <v>195657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101">
        <f t="shared" si="0"/>
        <v>195657</v>
      </c>
      <c r="X15" s="92">
        <f t="shared" si="1"/>
        <v>0</v>
      </c>
      <c r="Y15" s="92">
        <f t="shared" si="2"/>
        <v>0</v>
      </c>
      <c r="Z15" s="92">
        <f t="shared" si="3"/>
        <v>0</v>
      </c>
      <c r="AA15" s="79">
        <f t="shared" si="4"/>
        <v>195657</v>
      </c>
    </row>
    <row r="16" spans="1:29" x14ac:dyDescent="0.25">
      <c r="A16" s="1"/>
      <c r="B16" s="87"/>
      <c r="H16" s="98" t="s">
        <v>18</v>
      </c>
      <c r="I16" s="98" t="s">
        <v>52</v>
      </c>
      <c r="J16" s="98" t="s">
        <v>27</v>
      </c>
      <c r="K16" s="84">
        <v>30000</v>
      </c>
      <c r="L16" s="84">
        <v>0</v>
      </c>
      <c r="M16" s="84">
        <v>0</v>
      </c>
      <c r="N16" s="84">
        <v>0</v>
      </c>
      <c r="O16" s="84">
        <v>0</v>
      </c>
      <c r="P16" s="84">
        <v>0</v>
      </c>
      <c r="Q16" s="84">
        <v>0</v>
      </c>
      <c r="R16" s="84">
        <v>0</v>
      </c>
      <c r="S16" s="84">
        <v>0</v>
      </c>
      <c r="T16" s="84">
        <v>0</v>
      </c>
      <c r="U16" s="84">
        <v>0</v>
      </c>
      <c r="V16" s="84">
        <v>0</v>
      </c>
      <c r="W16" s="101">
        <f t="shared" si="0"/>
        <v>30000</v>
      </c>
      <c r="X16" s="92">
        <f t="shared" si="1"/>
        <v>0</v>
      </c>
      <c r="Y16" s="92">
        <f t="shared" si="2"/>
        <v>0</v>
      </c>
      <c r="Z16" s="92">
        <f t="shared" si="3"/>
        <v>0</v>
      </c>
      <c r="AA16" s="79">
        <f t="shared" si="4"/>
        <v>30000</v>
      </c>
    </row>
    <row r="17" spans="1:29" x14ac:dyDescent="0.25">
      <c r="A17" s="1"/>
      <c r="B17" s="87"/>
      <c r="H17" s="98" t="s">
        <v>18</v>
      </c>
      <c r="I17" s="98" t="s">
        <v>53</v>
      </c>
      <c r="J17" s="98" t="s">
        <v>27</v>
      </c>
      <c r="K17" s="84">
        <v>13000</v>
      </c>
      <c r="L17" s="84">
        <v>0</v>
      </c>
      <c r="M17" s="84">
        <v>0</v>
      </c>
      <c r="N17" s="84">
        <v>0</v>
      </c>
      <c r="O17" s="84">
        <v>0</v>
      </c>
      <c r="P17" s="84">
        <v>0</v>
      </c>
      <c r="Q17" s="84">
        <v>0</v>
      </c>
      <c r="R17" s="84">
        <v>0</v>
      </c>
      <c r="S17" s="84">
        <v>0</v>
      </c>
      <c r="T17" s="84">
        <v>0</v>
      </c>
      <c r="U17" s="84">
        <v>0</v>
      </c>
      <c r="V17" s="84">
        <v>0</v>
      </c>
      <c r="W17" s="101">
        <f t="shared" si="0"/>
        <v>13000</v>
      </c>
      <c r="X17" s="92">
        <f t="shared" si="1"/>
        <v>0</v>
      </c>
      <c r="Y17" s="92">
        <f t="shared" si="2"/>
        <v>0</v>
      </c>
      <c r="Z17" s="92">
        <f t="shared" si="3"/>
        <v>0</v>
      </c>
      <c r="AA17" s="79">
        <f t="shared" si="4"/>
        <v>13000</v>
      </c>
    </row>
    <row r="18" spans="1:29" x14ac:dyDescent="0.25">
      <c r="A18" s="1" t="s">
        <v>22</v>
      </c>
      <c r="B18" s="86" t="e">
        <f>SUM(#REF!)</f>
        <v>#REF!</v>
      </c>
      <c r="C18" s="86" t="e">
        <f>SUM(#REF!)</f>
        <v>#REF!</v>
      </c>
      <c r="D18" s="86" t="e">
        <f>SUM(#REF!)</f>
        <v>#REF!</v>
      </c>
      <c r="E18" s="88" t="e">
        <f>B18+C18+D18</f>
        <v>#REF!</v>
      </c>
      <c r="F18" s="88" t="e">
        <f>B18-E18</f>
        <v>#REF!</v>
      </c>
      <c r="H18" s="98" t="s">
        <v>18</v>
      </c>
      <c r="I18" s="98" t="s">
        <v>54</v>
      </c>
      <c r="J18" s="98" t="s">
        <v>27</v>
      </c>
      <c r="K18" s="84">
        <v>0</v>
      </c>
      <c r="L18" s="84">
        <v>0</v>
      </c>
      <c r="M18" s="84">
        <v>0</v>
      </c>
      <c r="N18" s="84">
        <v>0</v>
      </c>
      <c r="O18" s="84">
        <v>0</v>
      </c>
      <c r="P18" s="84">
        <v>7000</v>
      </c>
      <c r="Q18" s="84">
        <v>0</v>
      </c>
      <c r="R18" s="84">
        <v>0</v>
      </c>
      <c r="S18" s="84">
        <v>0</v>
      </c>
      <c r="T18" s="84">
        <v>0</v>
      </c>
      <c r="U18" s="84">
        <v>0</v>
      </c>
      <c r="V18" s="84">
        <v>0</v>
      </c>
      <c r="W18" s="101">
        <f t="shared" si="0"/>
        <v>0</v>
      </c>
      <c r="X18" s="92">
        <f t="shared" si="1"/>
        <v>7000</v>
      </c>
      <c r="Y18" s="92">
        <f t="shared" si="2"/>
        <v>0</v>
      </c>
      <c r="Z18" s="92">
        <f t="shared" si="3"/>
        <v>0</v>
      </c>
      <c r="AA18" s="79">
        <f t="shared" si="4"/>
        <v>7000</v>
      </c>
    </row>
    <row r="19" spans="1:29" x14ac:dyDescent="0.25">
      <c r="A19" s="1"/>
      <c r="B19" s="82"/>
      <c r="C19" s="82"/>
      <c r="D19" s="82"/>
      <c r="H19" s="98" t="s">
        <v>18</v>
      </c>
      <c r="I19" s="98" t="s">
        <v>55</v>
      </c>
      <c r="J19" s="98" t="s">
        <v>20</v>
      </c>
      <c r="K19" s="84">
        <v>187066</v>
      </c>
      <c r="L19" s="84">
        <v>0</v>
      </c>
      <c r="M19" s="84">
        <v>0</v>
      </c>
      <c r="N19" s="84">
        <v>0</v>
      </c>
      <c r="O19" s="84">
        <v>0</v>
      </c>
      <c r="P19" s="84">
        <v>0</v>
      </c>
      <c r="Q19" s="84">
        <v>0</v>
      </c>
      <c r="R19" s="84">
        <v>0</v>
      </c>
      <c r="S19" s="84">
        <v>0</v>
      </c>
      <c r="T19" s="84">
        <v>0</v>
      </c>
      <c r="U19" s="84">
        <v>0</v>
      </c>
      <c r="V19" s="84">
        <v>0</v>
      </c>
      <c r="W19" s="101">
        <f t="shared" si="0"/>
        <v>187066</v>
      </c>
      <c r="X19" s="92">
        <f t="shared" si="1"/>
        <v>0</v>
      </c>
      <c r="Y19" s="92">
        <f t="shared" si="2"/>
        <v>0</v>
      </c>
      <c r="Z19" s="92">
        <f t="shared" si="3"/>
        <v>0</v>
      </c>
      <c r="AA19" s="79">
        <f t="shared" si="4"/>
        <v>187066</v>
      </c>
    </row>
    <row r="20" spans="1:29" x14ac:dyDescent="0.25">
      <c r="A20" s="1" t="s">
        <v>36</v>
      </c>
      <c r="B20" s="86" t="e">
        <f>B18+B15+B8</f>
        <v>#REF!</v>
      </c>
      <c r="C20" s="86" t="e">
        <f>C18+C15+C8</f>
        <v>#REF!</v>
      </c>
      <c r="D20" s="86" t="e">
        <f>D18+D15+D8</f>
        <v>#REF!</v>
      </c>
      <c r="E20" s="86" t="e">
        <f>E18+E15+E8</f>
        <v>#REF!</v>
      </c>
      <c r="F20" s="86" t="e">
        <f>F18+F15+F8</f>
        <v>#REF!</v>
      </c>
      <c r="H20" s="98" t="s">
        <v>18</v>
      </c>
      <c r="I20" s="98" t="s">
        <v>56</v>
      </c>
      <c r="J20" s="98" t="s">
        <v>27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23000</v>
      </c>
      <c r="W20" s="101">
        <f t="shared" si="0"/>
        <v>0</v>
      </c>
      <c r="X20" s="92">
        <f t="shared" si="1"/>
        <v>0</v>
      </c>
      <c r="Y20" s="92">
        <f t="shared" si="2"/>
        <v>0</v>
      </c>
      <c r="Z20" s="92">
        <f t="shared" si="3"/>
        <v>23000</v>
      </c>
      <c r="AA20" s="79">
        <f t="shared" si="4"/>
        <v>23000</v>
      </c>
    </row>
    <row r="21" spans="1:29" x14ac:dyDescent="0.25">
      <c r="B21" s="82"/>
      <c r="H21" s="98" t="s">
        <v>32</v>
      </c>
      <c r="I21" s="98" t="s">
        <v>57</v>
      </c>
      <c r="J21" s="98" t="s">
        <v>27</v>
      </c>
      <c r="K21" s="84">
        <v>0</v>
      </c>
      <c r="L21" s="84">
        <v>0</v>
      </c>
      <c r="M21" s="84">
        <v>0</v>
      </c>
      <c r="N21" s="84">
        <v>1999808.77</v>
      </c>
      <c r="O21" s="84">
        <v>0</v>
      </c>
      <c r="P21" s="84">
        <v>0</v>
      </c>
      <c r="Q21" s="84">
        <v>0</v>
      </c>
      <c r="R21" s="84">
        <v>0</v>
      </c>
      <c r="S21" s="84">
        <v>0</v>
      </c>
      <c r="T21" s="84">
        <v>0</v>
      </c>
      <c r="U21" s="84">
        <v>0</v>
      </c>
      <c r="V21" s="84">
        <v>0</v>
      </c>
      <c r="W21" s="101">
        <f t="shared" si="0"/>
        <v>0</v>
      </c>
      <c r="X21" s="92">
        <f t="shared" si="1"/>
        <v>1999808.77</v>
      </c>
      <c r="Y21" s="92">
        <f t="shared" si="2"/>
        <v>0</v>
      </c>
      <c r="Z21" s="92">
        <f t="shared" si="3"/>
        <v>0</v>
      </c>
      <c r="AA21" s="79">
        <f t="shared" si="4"/>
        <v>1999808.77</v>
      </c>
    </row>
    <row r="22" spans="1:29" x14ac:dyDescent="0.25">
      <c r="A22" s="1" t="s">
        <v>58</v>
      </c>
      <c r="B22" s="82">
        <v>42325358.242843531</v>
      </c>
      <c r="H22" s="98" t="s">
        <v>29</v>
      </c>
      <c r="I22" s="98" t="s">
        <v>59</v>
      </c>
      <c r="J22" s="98" t="s">
        <v>20</v>
      </c>
      <c r="K22" s="84">
        <v>243750</v>
      </c>
      <c r="L22" s="84">
        <v>0</v>
      </c>
      <c r="M22" s="84">
        <v>0</v>
      </c>
      <c r="N22" s="84">
        <v>0</v>
      </c>
      <c r="O22" s="84">
        <v>0</v>
      </c>
      <c r="P22" s="84">
        <v>0</v>
      </c>
      <c r="Q22" s="84">
        <v>0</v>
      </c>
      <c r="R22" s="84">
        <v>0</v>
      </c>
      <c r="S22" s="84">
        <v>0</v>
      </c>
      <c r="T22" s="84">
        <v>0</v>
      </c>
      <c r="U22" s="84">
        <v>0</v>
      </c>
      <c r="V22" s="84">
        <v>0</v>
      </c>
      <c r="W22" s="101">
        <f t="shared" si="0"/>
        <v>243750</v>
      </c>
      <c r="X22" s="92">
        <f t="shared" si="1"/>
        <v>0</v>
      </c>
      <c r="Y22" s="92">
        <f t="shared" si="2"/>
        <v>0</v>
      </c>
      <c r="Z22" s="92">
        <f t="shared" si="3"/>
        <v>0</v>
      </c>
      <c r="AA22" s="79">
        <f t="shared" si="4"/>
        <v>243750</v>
      </c>
    </row>
    <row r="23" spans="1:29" ht="15.75" thickBot="1" x14ac:dyDescent="0.3">
      <c r="B23" s="82"/>
      <c r="H23" s="98" t="s">
        <v>25</v>
      </c>
      <c r="I23" s="98" t="s">
        <v>60</v>
      </c>
      <c r="J23" s="98" t="s">
        <v>61</v>
      </c>
      <c r="K23" s="84">
        <v>182510</v>
      </c>
      <c r="L23" s="84">
        <v>0</v>
      </c>
      <c r="M23" s="84">
        <v>0</v>
      </c>
      <c r="N23" s="84">
        <v>0</v>
      </c>
      <c r="O23" s="84">
        <v>0</v>
      </c>
      <c r="P23" s="84">
        <v>0</v>
      </c>
      <c r="Q23" s="84">
        <v>0</v>
      </c>
      <c r="R23" s="84">
        <v>0</v>
      </c>
      <c r="S23" s="84">
        <v>0</v>
      </c>
      <c r="T23" s="84">
        <v>0</v>
      </c>
      <c r="U23" s="84">
        <v>0</v>
      </c>
      <c r="V23" s="84">
        <v>0</v>
      </c>
      <c r="W23" s="101">
        <f t="shared" si="0"/>
        <v>182510</v>
      </c>
      <c r="X23" s="92">
        <f t="shared" si="1"/>
        <v>0</v>
      </c>
      <c r="Y23" s="92">
        <f t="shared" si="2"/>
        <v>0</v>
      </c>
      <c r="Z23" s="92">
        <f t="shared" si="3"/>
        <v>0</v>
      </c>
      <c r="AA23" s="79">
        <f t="shared" si="4"/>
        <v>182510</v>
      </c>
    </row>
    <row r="24" spans="1:29" ht="15.75" thickBot="1" x14ac:dyDescent="0.3">
      <c r="A24" s="1" t="s">
        <v>62</v>
      </c>
      <c r="B24" s="80" t="e">
        <f>B20-B22</f>
        <v>#REF!</v>
      </c>
      <c r="C24" t="s">
        <v>63</v>
      </c>
      <c r="H24" s="98" t="s">
        <v>25</v>
      </c>
      <c r="I24" s="98" t="s">
        <v>64</v>
      </c>
      <c r="J24" s="98" t="s">
        <v>27</v>
      </c>
      <c r="K24" s="84">
        <v>93836.800000000003</v>
      </c>
      <c r="L24" s="84">
        <v>0</v>
      </c>
      <c r="M24" s="84">
        <v>0</v>
      </c>
      <c r="N24" s="84">
        <v>0</v>
      </c>
      <c r="O24" s="84">
        <v>0</v>
      </c>
      <c r="P24" s="84">
        <v>0</v>
      </c>
      <c r="Q24" s="84">
        <v>0</v>
      </c>
      <c r="R24" s="84">
        <v>0</v>
      </c>
      <c r="S24" s="84">
        <v>0</v>
      </c>
      <c r="T24" s="84">
        <v>0</v>
      </c>
      <c r="U24" s="84">
        <v>0</v>
      </c>
      <c r="V24" s="84">
        <v>0</v>
      </c>
      <c r="W24" s="101">
        <f t="shared" si="0"/>
        <v>93836.800000000003</v>
      </c>
      <c r="X24" s="92">
        <f t="shared" si="1"/>
        <v>0</v>
      </c>
      <c r="Y24" s="92">
        <f t="shared" si="2"/>
        <v>0</v>
      </c>
      <c r="Z24" s="92">
        <f t="shared" si="3"/>
        <v>0</v>
      </c>
      <c r="AA24" s="79">
        <f t="shared" si="4"/>
        <v>93836.800000000003</v>
      </c>
    </row>
    <row r="25" spans="1:29" x14ac:dyDescent="0.25">
      <c r="H25" s="98" t="s">
        <v>44</v>
      </c>
      <c r="I25" s="98" t="s">
        <v>65</v>
      </c>
      <c r="J25" s="98" t="s">
        <v>16</v>
      </c>
      <c r="K25" s="84">
        <v>30000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101">
        <f t="shared" si="0"/>
        <v>30000</v>
      </c>
      <c r="X25" s="92">
        <f t="shared" si="1"/>
        <v>0</v>
      </c>
      <c r="Y25" s="92">
        <f t="shared" si="2"/>
        <v>0</v>
      </c>
      <c r="Z25" s="92">
        <f t="shared" si="3"/>
        <v>0</v>
      </c>
      <c r="AA25" s="79">
        <f t="shared" si="4"/>
        <v>30000</v>
      </c>
    </row>
    <row r="26" spans="1:29" x14ac:dyDescent="0.25">
      <c r="H26" s="98" t="s">
        <v>42</v>
      </c>
      <c r="I26" s="98" t="s">
        <v>66</v>
      </c>
      <c r="J26" s="98" t="s">
        <v>16</v>
      </c>
      <c r="K26" s="84">
        <v>570000</v>
      </c>
      <c r="L26" s="84">
        <v>0</v>
      </c>
      <c r="M26" s="84">
        <v>0</v>
      </c>
      <c r="N26" s="84">
        <v>0</v>
      </c>
      <c r="O26" s="84">
        <v>0</v>
      </c>
      <c r="P26" s="84">
        <v>0</v>
      </c>
      <c r="Q26" s="84">
        <v>0</v>
      </c>
      <c r="R26" s="84">
        <v>0</v>
      </c>
      <c r="S26" s="84">
        <v>0</v>
      </c>
      <c r="T26" s="84">
        <v>0</v>
      </c>
      <c r="U26" s="84">
        <v>0</v>
      </c>
      <c r="V26" s="84">
        <v>0</v>
      </c>
      <c r="W26" s="101">
        <f t="shared" si="0"/>
        <v>570000</v>
      </c>
      <c r="X26" s="92">
        <f t="shared" si="1"/>
        <v>0</v>
      </c>
      <c r="Y26" s="92">
        <f t="shared" si="2"/>
        <v>0</v>
      </c>
      <c r="Z26" s="92">
        <f t="shared" si="3"/>
        <v>0</v>
      </c>
      <c r="AA26" s="79">
        <f t="shared" si="4"/>
        <v>570000</v>
      </c>
    </row>
    <row r="27" spans="1:29" ht="15.75" thickBot="1" x14ac:dyDescent="0.3">
      <c r="H27" s="99"/>
      <c r="I27" s="99" t="s">
        <v>67</v>
      </c>
      <c r="J27" s="100"/>
      <c r="K27" s="94">
        <f t="shared" ref="K27:AA27" si="9">SUM(K2:K26)</f>
        <v>2111383.96</v>
      </c>
      <c r="L27" s="94">
        <f t="shared" si="9"/>
        <v>215657</v>
      </c>
      <c r="M27" s="94">
        <f t="shared" si="9"/>
        <v>0</v>
      </c>
      <c r="N27" s="94">
        <f t="shared" si="9"/>
        <v>1999808.77</v>
      </c>
      <c r="O27" s="94">
        <f t="shared" si="9"/>
        <v>0</v>
      </c>
      <c r="P27" s="94">
        <f t="shared" si="9"/>
        <v>7000</v>
      </c>
      <c r="Q27" s="94">
        <f t="shared" si="9"/>
        <v>501000</v>
      </c>
      <c r="R27" s="94">
        <f t="shared" si="9"/>
        <v>0</v>
      </c>
      <c r="S27" s="94">
        <f t="shared" si="9"/>
        <v>0</v>
      </c>
      <c r="T27" s="94">
        <f t="shared" si="9"/>
        <v>0</v>
      </c>
      <c r="U27" s="94">
        <f t="shared" si="9"/>
        <v>23871.53</v>
      </c>
      <c r="V27" s="94">
        <f t="shared" si="9"/>
        <v>23000</v>
      </c>
      <c r="W27" s="95">
        <f t="shared" si="9"/>
        <v>2327040.96</v>
      </c>
      <c r="X27" s="95">
        <f t="shared" si="9"/>
        <v>2006808.77</v>
      </c>
      <c r="Y27" s="95">
        <f t="shared" si="9"/>
        <v>501000</v>
      </c>
      <c r="Z27" s="95">
        <f t="shared" si="9"/>
        <v>46871.53</v>
      </c>
      <c r="AA27" s="96">
        <f t="shared" si="9"/>
        <v>4881721.26</v>
      </c>
    </row>
    <row r="28" spans="1:29" ht="15.75" thickTop="1" x14ac:dyDescent="0.25"/>
    <row r="29" spans="1:29" x14ac:dyDescent="0.25">
      <c r="I29" s="2" t="s">
        <v>7</v>
      </c>
      <c r="J29" s="2" t="s">
        <v>8</v>
      </c>
      <c r="AC29" s="89"/>
    </row>
    <row r="30" spans="1:29" x14ac:dyDescent="0.25">
      <c r="A30" t="s">
        <v>68</v>
      </c>
      <c r="H30" s="98" t="s">
        <v>22</v>
      </c>
      <c r="I30" s="98" t="s">
        <v>69</v>
      </c>
      <c r="J30" s="98"/>
      <c r="K30" s="84">
        <v>-122582.571428571</v>
      </c>
      <c r="L30" s="84">
        <v>0</v>
      </c>
      <c r="M30" s="84">
        <v>0</v>
      </c>
      <c r="N30" s="84">
        <v>0</v>
      </c>
      <c r="O30" s="84">
        <v>0</v>
      </c>
      <c r="P30" s="84">
        <v>0</v>
      </c>
      <c r="Q30" s="84">
        <v>0</v>
      </c>
      <c r="R30" s="84">
        <v>0</v>
      </c>
      <c r="S30" s="84">
        <v>0</v>
      </c>
      <c r="T30" s="84">
        <v>0</v>
      </c>
      <c r="U30" s="84">
        <v>0</v>
      </c>
      <c r="V30" s="84">
        <v>0</v>
      </c>
      <c r="W30" s="92">
        <f>SUM(K30:M30)</f>
        <v>-122582.571428571</v>
      </c>
      <c r="X30" s="92">
        <f>SUM(N30:P30)</f>
        <v>0</v>
      </c>
      <c r="Y30" s="92">
        <f>SUM(Q30:S30)</f>
        <v>0</v>
      </c>
      <c r="Z30" s="92">
        <f>SUM(T30:V30)</f>
        <v>0</v>
      </c>
      <c r="AA30" s="79">
        <f>W30+X30+Y30+Z30</f>
        <v>-122582.571428571</v>
      </c>
      <c r="AC30" s="83"/>
    </row>
    <row r="31" spans="1:29" x14ac:dyDescent="0.25">
      <c r="H31" s="98" t="s">
        <v>25</v>
      </c>
      <c r="I31" s="98" t="s">
        <v>70</v>
      </c>
      <c r="J31" s="98"/>
      <c r="K31" s="84">
        <v>-20000</v>
      </c>
      <c r="L31" s="84">
        <v>0</v>
      </c>
      <c r="M31" s="84">
        <v>0</v>
      </c>
      <c r="N31" s="84">
        <v>0</v>
      </c>
      <c r="O31" s="84">
        <v>0</v>
      </c>
      <c r="P31" s="84">
        <v>0</v>
      </c>
      <c r="Q31" s="84">
        <v>0</v>
      </c>
      <c r="R31" s="84">
        <v>0</v>
      </c>
      <c r="S31" s="84">
        <v>0</v>
      </c>
      <c r="T31" s="84">
        <v>0</v>
      </c>
      <c r="U31" s="84">
        <v>0</v>
      </c>
      <c r="V31" s="84">
        <v>0</v>
      </c>
      <c r="W31" s="92">
        <f>SUM(K31:M31)</f>
        <v>-20000</v>
      </c>
      <c r="X31" s="92">
        <f>SUM(N31:P31)</f>
        <v>0</v>
      </c>
      <c r="Y31" s="92">
        <f>SUM(Q31:S31)</f>
        <v>0</v>
      </c>
      <c r="Z31" s="92">
        <f>SUM(T31:V31)</f>
        <v>0</v>
      </c>
      <c r="AA31" s="79">
        <f>W31+X31+Y31+Z31</f>
        <v>-20000</v>
      </c>
      <c r="AC31" s="89"/>
    </row>
    <row r="32" spans="1:29" x14ac:dyDescent="0.25">
      <c r="H32" s="98" t="s">
        <v>25</v>
      </c>
      <c r="I32" s="98" t="s">
        <v>71</v>
      </c>
      <c r="J32" s="98"/>
      <c r="K32" s="84">
        <v>-171000</v>
      </c>
      <c r="L32" s="84">
        <v>0</v>
      </c>
      <c r="M32" s="84">
        <v>0</v>
      </c>
      <c r="N32" s="84">
        <v>0</v>
      </c>
      <c r="O32" s="84">
        <v>0</v>
      </c>
      <c r="P32" s="84">
        <v>0</v>
      </c>
      <c r="Q32" s="84">
        <v>0</v>
      </c>
      <c r="R32" s="84">
        <v>0</v>
      </c>
      <c r="S32" s="84">
        <v>0</v>
      </c>
      <c r="T32" s="84">
        <v>0</v>
      </c>
      <c r="U32" s="84">
        <v>0</v>
      </c>
      <c r="V32" s="84">
        <v>0</v>
      </c>
      <c r="W32" s="92">
        <f>SUM(K32:M32)</f>
        <v>-171000</v>
      </c>
      <c r="X32" s="92">
        <f>SUM(N32:P32)</f>
        <v>0</v>
      </c>
      <c r="Y32" s="92">
        <f>SUM(Q32:S32)</f>
        <v>0</v>
      </c>
      <c r="Z32" s="92">
        <f>SUM(T32:V32)</f>
        <v>0</v>
      </c>
      <c r="AA32" s="79">
        <f>W32+X32+Y32+Z32</f>
        <v>-171000</v>
      </c>
    </row>
    <row r="33" spans="8:27" x14ac:dyDescent="0.25">
      <c r="H33" s="98" t="s">
        <v>18</v>
      </c>
      <c r="I33" s="98" t="s">
        <v>72</v>
      </c>
      <c r="J33" s="98"/>
      <c r="K33" s="84">
        <v>-33440</v>
      </c>
      <c r="L33" s="84">
        <v>0</v>
      </c>
      <c r="M33" s="84">
        <v>0</v>
      </c>
      <c r="N33" s="84">
        <v>0</v>
      </c>
      <c r="O33" s="84">
        <v>0</v>
      </c>
      <c r="P33" s="84">
        <v>0</v>
      </c>
      <c r="Q33" s="84">
        <v>0</v>
      </c>
      <c r="R33" s="84">
        <v>0</v>
      </c>
      <c r="S33" s="84">
        <v>0</v>
      </c>
      <c r="T33" s="84">
        <v>0</v>
      </c>
      <c r="U33" s="84">
        <v>0</v>
      </c>
      <c r="V33" s="84">
        <v>0</v>
      </c>
      <c r="W33" s="92">
        <f>SUM(K33:M33)</f>
        <v>-33440</v>
      </c>
      <c r="X33" s="92">
        <f>SUM(N33:P33)</f>
        <v>0</v>
      </c>
      <c r="Y33" s="92">
        <f>SUM(Q33:S33)</f>
        <v>0</v>
      </c>
      <c r="Z33" s="92">
        <f>SUM(T33:V33)</f>
        <v>0</v>
      </c>
      <c r="AA33" s="79">
        <f>W33+X33+Y33+Z33</f>
        <v>-33440</v>
      </c>
    </row>
    <row r="34" spans="8:27" ht="15.75" thickBot="1" x14ac:dyDescent="0.3">
      <c r="H34" s="99"/>
      <c r="I34" s="99" t="s">
        <v>73</v>
      </c>
      <c r="J34" s="100"/>
      <c r="K34" s="94">
        <f t="shared" ref="K34:AA34" si="10">SUM(K30:K33)</f>
        <v>-347022.57142857101</v>
      </c>
      <c r="L34" s="94">
        <f t="shared" si="10"/>
        <v>0</v>
      </c>
      <c r="M34" s="94">
        <f t="shared" si="10"/>
        <v>0</v>
      </c>
      <c r="N34" s="94">
        <f t="shared" si="10"/>
        <v>0</v>
      </c>
      <c r="O34" s="94">
        <f t="shared" si="10"/>
        <v>0</v>
      </c>
      <c r="P34" s="94">
        <f t="shared" si="10"/>
        <v>0</v>
      </c>
      <c r="Q34" s="94">
        <f t="shared" si="10"/>
        <v>0</v>
      </c>
      <c r="R34" s="94">
        <f t="shared" si="10"/>
        <v>0</v>
      </c>
      <c r="S34" s="94">
        <f t="shared" si="10"/>
        <v>0</v>
      </c>
      <c r="T34" s="94">
        <f t="shared" si="10"/>
        <v>0</v>
      </c>
      <c r="U34" s="94">
        <f t="shared" si="10"/>
        <v>0</v>
      </c>
      <c r="V34" s="94">
        <f t="shared" si="10"/>
        <v>0</v>
      </c>
      <c r="W34" s="95">
        <f t="shared" si="10"/>
        <v>-347022.57142857101</v>
      </c>
      <c r="X34" s="95">
        <f t="shared" si="10"/>
        <v>0</v>
      </c>
      <c r="Y34" s="95">
        <f t="shared" si="10"/>
        <v>0</v>
      </c>
      <c r="Z34" s="95">
        <f t="shared" si="10"/>
        <v>0</v>
      </c>
      <c r="AA34" s="96">
        <f t="shared" si="10"/>
        <v>-347022.57142857101</v>
      </c>
    </row>
    <row r="35" spans="8:27" ht="15.75" thickTop="1" x14ac:dyDescent="0.25"/>
  </sheetData>
  <autoFilter ref="H1:AA1" xr:uid="{8AF50FD9-E3EA-4DF2-933E-C2872167C764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1B0B-7031-4FA4-AF09-F8468009DA2F}">
  <sheetPr>
    <tabColor rgb="FFFFFF00"/>
  </sheetPr>
  <dimension ref="A1:CA1357"/>
  <sheetViews>
    <sheetView workbookViewId="0"/>
    <sheetView workbookViewId="1"/>
  </sheetViews>
  <sheetFormatPr defaultColWidth="9.42578125" defaultRowHeight="12" customHeight="1" outlineLevelRow="1" x14ac:dyDescent="0.25"/>
  <cols>
    <col min="1" max="1" width="5.5703125" style="41" bestFit="1" customWidth="1"/>
    <col min="2" max="2" width="21.42578125" style="20" customWidth="1"/>
    <col min="3" max="3" width="20.42578125" style="20" customWidth="1"/>
    <col min="4" max="4" width="15.5703125" style="20" customWidth="1"/>
    <col min="5" max="5" width="15.42578125" style="20" customWidth="1"/>
    <col min="6" max="6" width="10.5703125" style="20" bestFit="1" customWidth="1"/>
    <col min="7" max="7" width="5.42578125" style="20" bestFit="1" customWidth="1"/>
    <col min="8" max="8" width="10.5703125" style="41" bestFit="1" customWidth="1"/>
    <col min="9" max="9" width="9" style="20" bestFit="1" customWidth="1"/>
    <col min="10" max="10" width="9" style="40" bestFit="1" customWidth="1"/>
    <col min="11" max="11" width="6.42578125" style="41" customWidth="1"/>
    <col min="12" max="12" width="10.42578125" style="33" bestFit="1" customWidth="1"/>
    <col min="13" max="13" width="10.42578125" style="33" hidden="1" customWidth="1"/>
    <col min="14" max="16" width="10.42578125" style="33" customWidth="1"/>
    <col min="17" max="16384" width="9.42578125" style="20"/>
  </cols>
  <sheetData>
    <row r="1" spans="1:79" ht="15.75" x14ac:dyDescent="0.25">
      <c r="A1" s="34"/>
      <c r="B1" s="35" t="s">
        <v>358</v>
      </c>
      <c r="C1" s="36"/>
      <c r="D1" s="37" t="s">
        <v>359</v>
      </c>
      <c r="E1" s="38"/>
      <c r="F1" s="39"/>
      <c r="H1" s="32" t="s">
        <v>360</v>
      </c>
      <c r="J1" s="40">
        <f>39258-39258</f>
        <v>0</v>
      </c>
      <c r="L1" s="42">
        <f>SUBTOTAL(9,L4:L1001)</f>
        <v>42325358.242843531</v>
      </c>
      <c r="M1" s="42"/>
      <c r="N1" s="42">
        <f>SUBTOTAL(9,N4:N1001)</f>
        <v>-2741765.8</v>
      </c>
      <c r="O1" s="42">
        <f>SUBTOTAL(9,O4:O1001)</f>
        <v>-822508</v>
      </c>
      <c r="P1" s="42">
        <f>SUBTOTAL(9,P4:P1001)</f>
        <v>38761084.442843527</v>
      </c>
    </row>
    <row r="2" spans="1:79" s="43" customFormat="1" x14ac:dyDescent="0.25">
      <c r="A2" s="41"/>
      <c r="B2" s="41"/>
      <c r="C2" s="41"/>
      <c r="D2" s="41"/>
      <c r="E2" s="41"/>
      <c r="H2" s="41"/>
      <c r="J2" s="44"/>
      <c r="K2" s="41"/>
      <c r="L2" s="45" t="s">
        <v>361</v>
      </c>
      <c r="M2" s="45"/>
      <c r="N2" s="46"/>
      <c r="O2" s="46"/>
      <c r="P2" s="46" t="s">
        <v>361</v>
      </c>
    </row>
    <row r="3" spans="1:79" ht="36" x14ac:dyDescent="0.25">
      <c r="A3" s="25" t="s">
        <v>362</v>
      </c>
      <c r="B3" s="26" t="s">
        <v>7</v>
      </c>
      <c r="C3" s="26" t="s">
        <v>363</v>
      </c>
      <c r="D3" s="26" t="s">
        <v>364</v>
      </c>
      <c r="E3" s="26" t="s">
        <v>365</v>
      </c>
      <c r="F3" s="26" t="s">
        <v>366</v>
      </c>
      <c r="G3" s="25" t="s">
        <v>367</v>
      </c>
      <c r="H3" s="25" t="s">
        <v>74</v>
      </c>
      <c r="I3" s="25" t="s">
        <v>368</v>
      </c>
      <c r="J3" s="27" t="s">
        <v>369</v>
      </c>
      <c r="K3" s="25" t="s">
        <v>370</v>
      </c>
      <c r="L3" s="28" t="s">
        <v>371</v>
      </c>
      <c r="M3" s="29" t="s">
        <v>372</v>
      </c>
      <c r="N3" s="30" t="s">
        <v>373</v>
      </c>
      <c r="O3" s="30" t="s">
        <v>374</v>
      </c>
      <c r="P3" s="30" t="s">
        <v>375</v>
      </c>
    </row>
    <row r="4" spans="1:79" s="31" customFormat="1" ht="24" x14ac:dyDescent="0.25">
      <c r="A4" s="16">
        <v>263</v>
      </c>
      <c r="B4" s="12" t="s">
        <v>296</v>
      </c>
      <c r="C4" s="13"/>
      <c r="D4" s="17" t="s">
        <v>376</v>
      </c>
      <c r="E4" s="17"/>
      <c r="F4" s="12" t="s">
        <v>89</v>
      </c>
      <c r="G4" s="12">
        <v>8700</v>
      </c>
      <c r="H4" s="47" t="s">
        <v>0</v>
      </c>
      <c r="I4" s="13"/>
      <c r="J4" s="63"/>
      <c r="K4" s="22" t="str">
        <f>IF(OR(I4="",J4=""),"Monthly",IF(J4&lt;I4,0,(YEAR(J4)-YEAR(I4))*12+(MONTH(J4)-MONTH(I4))+1-IF(DAY(J4)&lt;DAY(I4),1,0)))</f>
        <v>Monthly</v>
      </c>
      <c r="L4" s="14">
        <v>20731.599000000002</v>
      </c>
      <c r="M4" s="14">
        <v>20731.599000000002</v>
      </c>
      <c r="N4" s="14"/>
      <c r="O4" s="14"/>
      <c r="P4" s="14">
        <v>20731.599000000002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spans="1:79" ht="24" x14ac:dyDescent="0.25">
      <c r="A5" s="16">
        <v>30</v>
      </c>
      <c r="B5" s="12" t="s">
        <v>76</v>
      </c>
      <c r="C5" s="13" t="s">
        <v>79</v>
      </c>
      <c r="D5" s="17" t="s">
        <v>377</v>
      </c>
      <c r="E5" s="13" t="s">
        <v>378</v>
      </c>
      <c r="F5" s="12" t="s">
        <v>77</v>
      </c>
      <c r="G5" s="12">
        <v>8200</v>
      </c>
      <c r="H5" s="47" t="s">
        <v>78</v>
      </c>
      <c r="I5" s="48">
        <v>45901</v>
      </c>
      <c r="J5" s="49">
        <v>46265</v>
      </c>
      <c r="K5" s="16">
        <f>IF(OR(I5="",J5=""),"",IF(J5&lt;I5,0,(YEAR(J5)-YEAR(I5))*12+(MONTH(J5)-MONTH(I5))+1-IF(DAY(J5)&lt;DAY(I5),1,0)))</f>
        <v>12</v>
      </c>
      <c r="L5" s="14">
        <v>21602.369863013701</v>
      </c>
      <c r="M5" s="14">
        <v>5949.4456164383573</v>
      </c>
      <c r="N5" s="14"/>
      <c r="O5" s="14"/>
      <c r="P5" s="14">
        <v>21602.369863013701</v>
      </c>
    </row>
    <row r="6" spans="1:79" ht="48" x14ac:dyDescent="0.25">
      <c r="A6" s="16">
        <v>31</v>
      </c>
      <c r="B6" s="50" t="s">
        <v>26</v>
      </c>
      <c r="C6" s="51" t="s">
        <v>80</v>
      </c>
      <c r="D6" s="17" t="s">
        <v>377</v>
      </c>
      <c r="E6" s="13" t="s">
        <v>379</v>
      </c>
      <c r="F6" s="12" t="s">
        <v>77</v>
      </c>
      <c r="G6" s="12">
        <v>8200</v>
      </c>
      <c r="H6" s="47" t="s">
        <v>78</v>
      </c>
      <c r="I6" s="48">
        <v>45292</v>
      </c>
      <c r="J6" s="49">
        <v>46387</v>
      </c>
      <c r="K6" s="16">
        <f>IF(OR(I6="",J6=""),"",IF(J6&lt;I6,0,(YEAR(J6)-YEAR(I6))*12+(MONTH(J6)-MONTH(I6))+1-IF(DAY(J6)&lt;DAY(I6),1,0)))</f>
        <v>36</v>
      </c>
      <c r="L6" s="14">
        <v>1806000</v>
      </c>
      <c r="M6" s="14">
        <v>347802.1346961325</v>
      </c>
      <c r="N6" s="21">
        <v>-275000</v>
      </c>
      <c r="O6" s="15"/>
      <c r="P6" s="14">
        <v>1531000</v>
      </c>
    </row>
    <row r="7" spans="1:79" ht="36" x14ac:dyDescent="0.25">
      <c r="A7" s="16">
        <v>32</v>
      </c>
      <c r="B7" s="50" t="s">
        <v>26</v>
      </c>
      <c r="C7" s="13" t="s">
        <v>380</v>
      </c>
      <c r="D7" s="17" t="s">
        <v>377</v>
      </c>
      <c r="E7" s="13" t="s">
        <v>379</v>
      </c>
      <c r="F7" s="12" t="s">
        <v>77</v>
      </c>
      <c r="G7" s="12">
        <v>8200</v>
      </c>
      <c r="H7" s="47" t="s">
        <v>78</v>
      </c>
      <c r="I7" s="48">
        <v>45505</v>
      </c>
      <c r="J7" s="49">
        <v>46392</v>
      </c>
      <c r="K7" s="16">
        <f>IF(OR(I7="",J7=""),"",IF(J7&lt;I7,0,(YEAR(J7)-YEAR(I7))*12+(MONTH(J7)-MONTH(I7))+1-IF(DAY(J7)&lt;DAY(I7),1,0)))</f>
        <v>30</v>
      </c>
      <c r="L7" s="14">
        <v>76651.436663362634</v>
      </c>
      <c r="M7" s="14">
        <v>18278.20148439394</v>
      </c>
      <c r="N7" s="21">
        <v>-10000</v>
      </c>
      <c r="O7" s="15"/>
      <c r="P7" s="14">
        <v>66651.436663362634</v>
      </c>
    </row>
    <row r="8" spans="1:79" ht="24" x14ac:dyDescent="0.25">
      <c r="A8" s="22" t="s">
        <v>381</v>
      </c>
      <c r="B8" s="17" t="s">
        <v>382</v>
      </c>
      <c r="C8" s="17" t="s">
        <v>383</v>
      </c>
      <c r="D8" s="52" t="s">
        <v>377</v>
      </c>
      <c r="E8" s="17" t="s">
        <v>284</v>
      </c>
      <c r="F8" s="23" t="s">
        <v>89</v>
      </c>
      <c r="G8" s="17">
        <v>8200</v>
      </c>
      <c r="H8" s="18"/>
      <c r="I8" s="17"/>
      <c r="J8" s="19"/>
      <c r="K8" s="18" t="str">
        <f>IF(OR(I8="",J8=""),"Monthly",IF(J8&lt;I8,0,(YEAR(J8)-YEAR(I8))*12+(MONTH(J8)-MONTH(I8))+1-IF(DAY(J8)&lt;DAY(I8),1,0)))</f>
        <v>Monthly</v>
      </c>
      <c r="L8" s="15">
        <v>20000</v>
      </c>
      <c r="M8" s="15">
        <v>20000</v>
      </c>
      <c r="N8" s="15"/>
      <c r="O8" s="21">
        <v>33440</v>
      </c>
      <c r="P8" s="14">
        <v>53440</v>
      </c>
    </row>
    <row r="9" spans="1:79" ht="24" x14ac:dyDescent="0.25">
      <c r="A9" s="16">
        <v>1</v>
      </c>
      <c r="B9" s="50" t="s">
        <v>204</v>
      </c>
      <c r="C9" s="13" t="s">
        <v>384</v>
      </c>
      <c r="D9" s="17" t="s">
        <v>385</v>
      </c>
      <c r="E9" s="13" t="s">
        <v>386</v>
      </c>
      <c r="F9" s="12" t="s">
        <v>356</v>
      </c>
      <c r="G9" s="12">
        <v>8200</v>
      </c>
      <c r="H9" s="47" t="s">
        <v>0</v>
      </c>
      <c r="I9" s="48">
        <v>45870</v>
      </c>
      <c r="J9" s="49">
        <v>46965</v>
      </c>
      <c r="K9" s="16">
        <f t="shared" ref="K9:K23" si="0">IF(OR(I9="",J9=""),"",IF(J9&lt;I9,0,(YEAR(J9)-YEAR(I9))*12+(MONTH(J9)-MONTH(I9))+1-IF(DAY(J9)&lt;DAY(I9),1,0)))</f>
        <v>36</v>
      </c>
      <c r="L9" s="14">
        <v>-672153</v>
      </c>
      <c r="M9" s="14">
        <v>-672153</v>
      </c>
      <c r="N9" s="14"/>
      <c r="O9" s="14"/>
      <c r="P9" s="14">
        <v>-672153</v>
      </c>
    </row>
    <row r="10" spans="1:79" ht="24" x14ac:dyDescent="0.25">
      <c r="A10" s="16">
        <v>1</v>
      </c>
      <c r="B10" s="50" t="s">
        <v>204</v>
      </c>
      <c r="C10" s="13" t="s">
        <v>384</v>
      </c>
      <c r="D10" s="17" t="s">
        <v>387</v>
      </c>
      <c r="E10" s="13" t="s">
        <v>386</v>
      </c>
      <c r="F10" s="12" t="s">
        <v>355</v>
      </c>
      <c r="G10" s="12">
        <v>8200</v>
      </c>
      <c r="H10" s="47" t="s">
        <v>0</v>
      </c>
      <c r="I10" s="48">
        <v>45870</v>
      </c>
      <c r="J10" s="49">
        <v>46965</v>
      </c>
      <c r="K10" s="16">
        <f t="shared" si="0"/>
        <v>36</v>
      </c>
      <c r="L10" s="24">
        <v>-11351</v>
      </c>
      <c r="M10" s="24">
        <v>-11351</v>
      </c>
      <c r="N10" s="24"/>
      <c r="O10" s="24"/>
      <c r="P10" s="14">
        <v>-11351</v>
      </c>
    </row>
    <row r="11" spans="1:79" ht="24" x14ac:dyDescent="0.25">
      <c r="A11" s="16">
        <v>1</v>
      </c>
      <c r="B11" s="50" t="s">
        <v>204</v>
      </c>
      <c r="C11" s="13" t="s">
        <v>384</v>
      </c>
      <c r="D11" s="17" t="s">
        <v>387</v>
      </c>
      <c r="E11" s="13" t="s">
        <v>386</v>
      </c>
      <c r="F11" s="12" t="s">
        <v>355</v>
      </c>
      <c r="G11" s="12">
        <v>8200</v>
      </c>
      <c r="H11" s="47" t="s">
        <v>0</v>
      </c>
      <c r="I11" s="48">
        <v>45870</v>
      </c>
      <c r="J11" s="49">
        <v>46965</v>
      </c>
      <c r="K11" s="16">
        <f t="shared" si="0"/>
        <v>36</v>
      </c>
      <c r="L11" s="24">
        <v>11351</v>
      </c>
      <c r="M11" s="24">
        <v>11351</v>
      </c>
      <c r="N11" s="24"/>
      <c r="O11" s="24"/>
      <c r="P11" s="14">
        <v>11351</v>
      </c>
    </row>
    <row r="12" spans="1:79" ht="24" x14ac:dyDescent="0.25">
      <c r="A12" s="16" t="s">
        <v>388</v>
      </c>
      <c r="B12" s="50" t="s">
        <v>204</v>
      </c>
      <c r="C12" s="13" t="s">
        <v>384</v>
      </c>
      <c r="D12" s="17" t="s">
        <v>376</v>
      </c>
      <c r="E12" s="13" t="s">
        <v>386</v>
      </c>
      <c r="F12" s="12" t="s">
        <v>89</v>
      </c>
      <c r="G12" s="12">
        <v>8200</v>
      </c>
      <c r="H12" s="47" t="s">
        <v>0</v>
      </c>
      <c r="I12" s="48">
        <v>45870</v>
      </c>
      <c r="J12" s="49">
        <v>46965</v>
      </c>
      <c r="K12" s="16">
        <f t="shared" si="0"/>
        <v>36</v>
      </c>
      <c r="L12" s="14">
        <v>46800</v>
      </c>
      <c r="M12" s="14">
        <v>46800</v>
      </c>
      <c r="N12" s="21">
        <v>-46800</v>
      </c>
      <c r="O12" s="15"/>
      <c r="P12" s="14">
        <v>0</v>
      </c>
    </row>
    <row r="13" spans="1:79" ht="24" x14ac:dyDescent="0.25">
      <c r="A13" s="16">
        <v>1</v>
      </c>
      <c r="B13" s="50" t="s">
        <v>204</v>
      </c>
      <c r="C13" s="13" t="s">
        <v>384</v>
      </c>
      <c r="D13" s="17" t="s">
        <v>389</v>
      </c>
      <c r="E13" s="13" t="s">
        <v>386</v>
      </c>
      <c r="F13" s="12" t="s">
        <v>141</v>
      </c>
      <c r="G13" s="12">
        <v>8200</v>
      </c>
      <c r="H13" s="47" t="s">
        <v>0</v>
      </c>
      <c r="I13" s="48">
        <v>45870</v>
      </c>
      <c r="J13" s="49">
        <v>46965</v>
      </c>
      <c r="K13" s="16">
        <f t="shared" si="0"/>
        <v>36</v>
      </c>
      <c r="L13" s="14">
        <v>273913.99999999994</v>
      </c>
      <c r="M13" s="14">
        <v>64420.049999999959</v>
      </c>
      <c r="N13" s="53">
        <v>-30000</v>
      </c>
      <c r="O13" s="54"/>
      <c r="P13" s="14">
        <v>243913.99999999994</v>
      </c>
    </row>
    <row r="14" spans="1:79" ht="24" x14ac:dyDescent="0.25">
      <c r="A14" s="16">
        <v>1</v>
      </c>
      <c r="B14" s="50" t="s">
        <v>204</v>
      </c>
      <c r="C14" s="13" t="s">
        <v>384</v>
      </c>
      <c r="D14" s="17" t="s">
        <v>390</v>
      </c>
      <c r="E14" s="13" t="s">
        <v>386</v>
      </c>
      <c r="F14" s="12" t="s">
        <v>92</v>
      </c>
      <c r="G14" s="12">
        <v>8200</v>
      </c>
      <c r="H14" s="47" t="s">
        <v>0</v>
      </c>
      <c r="I14" s="48">
        <v>45870</v>
      </c>
      <c r="J14" s="49">
        <v>46965</v>
      </c>
      <c r="K14" s="16">
        <f t="shared" si="0"/>
        <v>36</v>
      </c>
      <c r="L14" s="14">
        <v>354708.99999999994</v>
      </c>
      <c r="M14" s="14">
        <v>-18401.510000000184</v>
      </c>
      <c r="N14" s="53">
        <v>-40000</v>
      </c>
      <c r="O14" s="54"/>
      <c r="P14" s="14">
        <v>314708.99999999994</v>
      </c>
    </row>
    <row r="15" spans="1:79" ht="24" x14ac:dyDescent="0.25">
      <c r="A15" s="16">
        <v>1</v>
      </c>
      <c r="B15" s="50" t="s">
        <v>204</v>
      </c>
      <c r="C15" s="13" t="s">
        <v>384</v>
      </c>
      <c r="D15" s="17" t="s">
        <v>385</v>
      </c>
      <c r="E15" s="13" t="s">
        <v>386</v>
      </c>
      <c r="F15" s="12" t="s">
        <v>356</v>
      </c>
      <c r="G15" s="12">
        <v>8200</v>
      </c>
      <c r="H15" s="47" t="s">
        <v>0</v>
      </c>
      <c r="I15" s="48">
        <v>45870</v>
      </c>
      <c r="J15" s="49">
        <v>46965</v>
      </c>
      <c r="K15" s="16">
        <f t="shared" si="0"/>
        <v>36</v>
      </c>
      <c r="L15" s="14">
        <v>672153</v>
      </c>
      <c r="M15" s="14">
        <v>672153</v>
      </c>
      <c r="N15" s="14"/>
      <c r="O15" s="14"/>
      <c r="P15" s="14">
        <v>672153</v>
      </c>
    </row>
    <row r="16" spans="1:79" ht="24" x14ac:dyDescent="0.25">
      <c r="A16" s="16">
        <v>1</v>
      </c>
      <c r="B16" s="50" t="s">
        <v>204</v>
      </c>
      <c r="C16" s="13" t="s">
        <v>384</v>
      </c>
      <c r="D16" s="17" t="s">
        <v>391</v>
      </c>
      <c r="E16" s="13" t="s">
        <v>386</v>
      </c>
      <c r="F16" s="12" t="s">
        <v>77</v>
      </c>
      <c r="G16" s="12">
        <v>8200</v>
      </c>
      <c r="H16" s="47" t="s">
        <v>0</v>
      </c>
      <c r="I16" s="48">
        <v>45870</v>
      </c>
      <c r="J16" s="49">
        <v>46965</v>
      </c>
      <c r="K16" s="16">
        <f t="shared" si="0"/>
        <v>36</v>
      </c>
      <c r="L16" s="14">
        <v>1606542</v>
      </c>
      <c r="M16" s="14">
        <v>221589.10999999987</v>
      </c>
      <c r="N16" s="53">
        <v>-190000</v>
      </c>
      <c r="O16" s="54"/>
      <c r="P16" s="14">
        <v>1416542</v>
      </c>
    </row>
    <row r="17" spans="1:79" ht="24" x14ac:dyDescent="0.25">
      <c r="A17" s="16">
        <v>1</v>
      </c>
      <c r="B17" s="50" t="s">
        <v>204</v>
      </c>
      <c r="C17" s="13" t="s">
        <v>384</v>
      </c>
      <c r="D17" s="17" t="s">
        <v>389</v>
      </c>
      <c r="E17" s="13" t="s">
        <v>386</v>
      </c>
      <c r="F17" s="12" t="s">
        <v>97</v>
      </c>
      <c r="G17" s="12">
        <v>8200</v>
      </c>
      <c r="H17" s="47" t="s">
        <v>0</v>
      </c>
      <c r="I17" s="48">
        <v>45870</v>
      </c>
      <c r="J17" s="49">
        <v>46965</v>
      </c>
      <c r="K17" s="16">
        <f t="shared" si="0"/>
        <v>36</v>
      </c>
      <c r="L17" s="14">
        <v>2721867</v>
      </c>
      <c r="M17" s="14">
        <v>177350.91399999987</v>
      </c>
      <c r="N17" s="53">
        <v>-300000</v>
      </c>
      <c r="O17" s="54"/>
      <c r="P17" s="14">
        <v>2421867</v>
      </c>
    </row>
    <row r="18" spans="1:79" ht="24" x14ac:dyDescent="0.25">
      <c r="A18" s="16">
        <v>34</v>
      </c>
      <c r="B18" s="12" t="s">
        <v>82</v>
      </c>
      <c r="C18" s="13" t="s">
        <v>392</v>
      </c>
      <c r="D18" s="17" t="s">
        <v>393</v>
      </c>
      <c r="E18" s="13" t="s">
        <v>293</v>
      </c>
      <c r="F18" s="12" t="s">
        <v>83</v>
      </c>
      <c r="G18" s="12">
        <v>8200</v>
      </c>
      <c r="H18" s="47" t="s">
        <v>78</v>
      </c>
      <c r="I18" s="48">
        <v>45931</v>
      </c>
      <c r="J18" s="49">
        <v>46295</v>
      </c>
      <c r="K18" s="16">
        <f t="shared" si="0"/>
        <v>12</v>
      </c>
      <c r="L18" s="14">
        <v>2115.8390410958905</v>
      </c>
      <c r="M18" s="14">
        <v>-438.80164383561623</v>
      </c>
      <c r="N18" s="14"/>
      <c r="O18" s="14"/>
      <c r="P18" s="14">
        <v>2115.8390410958905</v>
      </c>
    </row>
    <row r="19" spans="1:79" x14ac:dyDescent="0.25">
      <c r="A19" s="16">
        <v>35</v>
      </c>
      <c r="B19" s="12" t="s">
        <v>84</v>
      </c>
      <c r="C19" s="13" t="s">
        <v>85</v>
      </c>
      <c r="D19" s="13" t="s">
        <v>385</v>
      </c>
      <c r="E19" s="13" t="s">
        <v>394</v>
      </c>
      <c r="F19" s="12" t="s">
        <v>81</v>
      </c>
      <c r="G19" s="12">
        <v>8200</v>
      </c>
      <c r="H19" s="47" t="s">
        <v>78</v>
      </c>
      <c r="I19" s="48">
        <v>45870</v>
      </c>
      <c r="J19" s="49">
        <v>46234</v>
      </c>
      <c r="K19" s="16">
        <f t="shared" si="0"/>
        <v>12</v>
      </c>
      <c r="L19" s="14">
        <v>16835.046575342465</v>
      </c>
      <c r="M19" s="14">
        <v>7813.3442465753415</v>
      </c>
      <c r="N19" s="14"/>
      <c r="O19" s="14"/>
      <c r="P19" s="14">
        <v>16835.046575342465</v>
      </c>
    </row>
    <row r="20" spans="1:79" ht="36" x14ac:dyDescent="0.25">
      <c r="A20" s="16">
        <v>36</v>
      </c>
      <c r="B20" s="12" t="s">
        <v>86</v>
      </c>
      <c r="C20" s="13" t="s">
        <v>87</v>
      </c>
      <c r="D20" s="13" t="s">
        <v>395</v>
      </c>
      <c r="E20" s="13" t="s">
        <v>396</v>
      </c>
      <c r="F20" s="12" t="s">
        <v>81</v>
      </c>
      <c r="G20" s="12">
        <v>8200</v>
      </c>
      <c r="H20" s="47" t="s">
        <v>78</v>
      </c>
      <c r="I20" s="48">
        <v>46046</v>
      </c>
      <c r="J20" s="49">
        <v>46410</v>
      </c>
      <c r="K20" s="16">
        <f t="shared" si="0"/>
        <v>12</v>
      </c>
      <c r="L20" s="14">
        <v>839.97820163487734</v>
      </c>
      <c r="M20" s="14">
        <v>628.97504087193454</v>
      </c>
      <c r="N20" s="14"/>
      <c r="O20" s="14"/>
      <c r="P20" s="14">
        <v>839.97820163487734</v>
      </c>
    </row>
    <row r="21" spans="1:79" x14ac:dyDescent="0.25">
      <c r="A21" s="16">
        <v>2</v>
      </c>
      <c r="B21" s="12" t="s">
        <v>88</v>
      </c>
      <c r="C21" s="13"/>
      <c r="D21" s="13" t="s">
        <v>391</v>
      </c>
      <c r="E21" s="13" t="s">
        <v>397</v>
      </c>
      <c r="F21" s="12" t="s">
        <v>81</v>
      </c>
      <c r="G21" s="12">
        <v>8200</v>
      </c>
      <c r="H21" s="47" t="s">
        <v>0</v>
      </c>
      <c r="I21" s="48">
        <v>46000</v>
      </c>
      <c r="J21" s="57">
        <v>46364</v>
      </c>
      <c r="K21" s="16">
        <f t="shared" si="0"/>
        <v>12</v>
      </c>
      <c r="L21" s="14">
        <v>16000</v>
      </c>
      <c r="M21" s="14">
        <v>10800</v>
      </c>
      <c r="N21" s="14"/>
      <c r="O21" s="14"/>
      <c r="P21" s="14">
        <v>16000</v>
      </c>
    </row>
    <row r="22" spans="1:79" ht="24" x14ac:dyDescent="0.25">
      <c r="A22" s="16">
        <v>39</v>
      </c>
      <c r="B22" s="12" t="s">
        <v>272</v>
      </c>
      <c r="C22" s="13" t="s">
        <v>273</v>
      </c>
      <c r="D22" s="17"/>
      <c r="E22" s="13" t="s">
        <v>291</v>
      </c>
      <c r="F22" s="12" t="s">
        <v>114</v>
      </c>
      <c r="G22" s="12">
        <v>8800</v>
      </c>
      <c r="H22" s="47" t="s">
        <v>78</v>
      </c>
      <c r="I22" s="48">
        <v>45839</v>
      </c>
      <c r="J22" s="49">
        <v>46934</v>
      </c>
      <c r="K22" s="16">
        <f t="shared" si="0"/>
        <v>36</v>
      </c>
      <c r="L22" s="14">
        <v>48151.609489051094</v>
      </c>
      <c r="M22" s="14">
        <v>4938.972481751829</v>
      </c>
      <c r="N22" s="14"/>
      <c r="O22" s="14"/>
      <c r="P22" s="14">
        <v>48151.609489051094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</row>
    <row r="23" spans="1:79" ht="36" x14ac:dyDescent="0.25">
      <c r="A23" s="16">
        <v>40</v>
      </c>
      <c r="B23" s="12" t="s">
        <v>398</v>
      </c>
      <c r="C23" s="13" t="s">
        <v>90</v>
      </c>
      <c r="D23" s="13" t="s">
        <v>377</v>
      </c>
      <c r="E23" s="13" t="s">
        <v>399</v>
      </c>
      <c r="F23" s="12" t="s">
        <v>89</v>
      </c>
      <c r="G23" s="12">
        <v>8200</v>
      </c>
      <c r="H23" s="47" t="s">
        <v>78</v>
      </c>
      <c r="I23" s="48">
        <v>45990</v>
      </c>
      <c r="J23" s="49">
        <v>46354</v>
      </c>
      <c r="K23" s="16">
        <f t="shared" si="0"/>
        <v>12</v>
      </c>
      <c r="L23" s="14">
        <v>15442.020547945205</v>
      </c>
      <c r="M23" s="14">
        <v>2244.8591780821916</v>
      </c>
      <c r="N23" s="14"/>
      <c r="O23" s="14"/>
      <c r="P23" s="14">
        <v>15442.020547945205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</row>
    <row r="24" spans="1:79" ht="30" x14ac:dyDescent="0.25">
      <c r="A24" s="22" t="s">
        <v>381</v>
      </c>
      <c r="B24" s="17" t="s">
        <v>208</v>
      </c>
      <c r="C24" s="17" t="s">
        <v>400</v>
      </c>
      <c r="D24" s="17" t="s">
        <v>391</v>
      </c>
      <c r="E24" s="69" t="s">
        <v>401</v>
      </c>
      <c r="F24" s="23" t="s">
        <v>77</v>
      </c>
      <c r="G24" s="23">
        <v>8200</v>
      </c>
      <c r="H24" s="18" t="s">
        <v>0</v>
      </c>
      <c r="I24" s="17"/>
      <c r="J24" s="19"/>
      <c r="K24" s="18" t="str">
        <f>IF(OR(I24="",J24=""),"Monthly",IF(J24&lt;I24,0,(YEAR(J24)-YEAR(I24))*12+(MONTH(J24)-MONTH(I24))+1-IF(DAY(J24)&lt;DAY(I24),1,0)))</f>
        <v>Monthly</v>
      </c>
      <c r="L24" s="71">
        <v>102216.99999999999</v>
      </c>
      <c r="M24" s="71">
        <v>102216.99999999999</v>
      </c>
      <c r="N24" s="71"/>
      <c r="O24" s="71"/>
      <c r="P24" s="14">
        <v>102216.99999999999</v>
      </c>
    </row>
    <row r="25" spans="1:79" ht="60" x14ac:dyDescent="0.25">
      <c r="A25" s="22" t="s">
        <v>381</v>
      </c>
      <c r="B25" s="17" t="s">
        <v>208</v>
      </c>
      <c r="C25" s="17" t="s">
        <v>400</v>
      </c>
      <c r="D25" s="17" t="s">
        <v>391</v>
      </c>
      <c r="E25" s="69" t="s">
        <v>402</v>
      </c>
      <c r="F25" s="17" t="s">
        <v>77</v>
      </c>
      <c r="G25" s="17">
        <v>8200</v>
      </c>
      <c r="H25" s="18" t="s">
        <v>0</v>
      </c>
      <c r="I25" s="17"/>
      <c r="J25" s="19"/>
      <c r="K25" s="18" t="str">
        <f>IF(OR(I25="",J25=""),"Monthly",IF(J25&lt;I25,0,(YEAR(J25)-YEAR(I25))*12+(MONTH(J25)-MONTH(I25))+1-IF(DAY(J25)&lt;DAY(I25),1,0)))</f>
        <v>Monthly</v>
      </c>
      <c r="L25" s="71">
        <v>199999.99999999997</v>
      </c>
      <c r="M25" s="71">
        <v>199999.99999999997</v>
      </c>
      <c r="N25" s="71"/>
      <c r="O25" s="71"/>
      <c r="P25" s="14">
        <v>199999.99999999997</v>
      </c>
    </row>
    <row r="26" spans="1:79" x14ac:dyDescent="0.25">
      <c r="A26" s="16">
        <v>4</v>
      </c>
      <c r="B26" s="12" t="s">
        <v>186</v>
      </c>
      <c r="C26" s="13" t="s">
        <v>187</v>
      </c>
      <c r="D26" s="17" t="s">
        <v>393</v>
      </c>
      <c r="E26" s="13" t="s">
        <v>293</v>
      </c>
      <c r="F26" s="12" t="s">
        <v>83</v>
      </c>
      <c r="G26" s="12">
        <v>8200</v>
      </c>
      <c r="H26" s="47" t="s">
        <v>0</v>
      </c>
      <c r="I26" s="48"/>
      <c r="J26" s="49"/>
      <c r="K26" s="16" t="str">
        <f>IF(OR(I26="",J26=""),"",IF(J26&lt;I26,0,(YEAR(J26)-YEAR(I26))*12+(MONTH(J26)-MONTH(I26))+1-IF(DAY(J26)&lt;DAY(I26),1,0)))</f>
        <v/>
      </c>
      <c r="L26" s="14">
        <v>3630.0000000000005</v>
      </c>
      <c r="M26" s="14">
        <v>497.15000000000009</v>
      </c>
      <c r="N26" s="14"/>
      <c r="O26" s="14"/>
      <c r="P26" s="14">
        <v>3630.0000000000005</v>
      </c>
    </row>
    <row r="27" spans="1:79" x14ac:dyDescent="0.25">
      <c r="A27" s="16">
        <v>204</v>
      </c>
      <c r="B27" s="12" t="s">
        <v>91</v>
      </c>
      <c r="C27" s="13" t="s">
        <v>93</v>
      </c>
      <c r="D27" s="17" t="s">
        <v>403</v>
      </c>
      <c r="E27" s="17" t="s">
        <v>291</v>
      </c>
      <c r="F27" s="12" t="s">
        <v>92</v>
      </c>
      <c r="G27" s="12">
        <v>8700</v>
      </c>
      <c r="H27" s="16" t="s">
        <v>78</v>
      </c>
      <c r="I27" s="48">
        <v>46056</v>
      </c>
      <c r="J27" s="49">
        <v>46144</v>
      </c>
      <c r="K27" s="16">
        <f>IF(OR(I27="",J27=""),"",IF(J27&lt;I27,0,(YEAR(J27)-YEAR(I27))*12+(MONTH(J27)-MONTH(I27))+1-IF(DAY(J27)&lt;DAY(I27),1,0)))</f>
        <v>3</v>
      </c>
      <c r="L27" s="14">
        <v>63000</v>
      </c>
      <c r="M27" s="14">
        <v>12762.447254518811</v>
      </c>
      <c r="N27" s="14"/>
      <c r="O27" s="14"/>
      <c r="P27" s="14">
        <v>63000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</row>
    <row r="28" spans="1:79" ht="24" x14ac:dyDescent="0.25">
      <c r="A28" s="16">
        <v>208</v>
      </c>
      <c r="B28" s="12" t="s">
        <v>215</v>
      </c>
      <c r="C28" s="13" t="s">
        <v>216</v>
      </c>
      <c r="D28" s="17" t="s">
        <v>404</v>
      </c>
      <c r="E28" s="17"/>
      <c r="F28" s="12" t="s">
        <v>92</v>
      </c>
      <c r="G28" s="12">
        <v>8200</v>
      </c>
      <c r="H28" s="47" t="s">
        <v>78</v>
      </c>
      <c r="I28" s="48">
        <v>46027</v>
      </c>
      <c r="J28" s="49">
        <v>47122</v>
      </c>
      <c r="K28" s="16">
        <f>IF(OR(I28="",J28=""),"",IF(J28&lt;I28,0,(YEAR(J28)-YEAR(I28))*12+(MONTH(J28)-MONTH(I28))+1-IF(DAY(J28)&lt;DAY(I28),1,0)))</f>
        <v>36</v>
      </c>
      <c r="L28" s="14">
        <v>286994.41664233577</v>
      </c>
      <c r="M28" s="14">
        <v>167311.0857372263</v>
      </c>
      <c r="N28" s="14"/>
      <c r="O28" s="14"/>
      <c r="P28" s="14">
        <v>286994.41664233577</v>
      </c>
    </row>
    <row r="29" spans="1:79" ht="24" x14ac:dyDescent="0.25">
      <c r="A29" s="16">
        <v>435</v>
      </c>
      <c r="B29" s="12" t="s">
        <v>215</v>
      </c>
      <c r="C29" s="13"/>
      <c r="D29" s="17" t="s">
        <v>376</v>
      </c>
      <c r="E29" s="17" t="s">
        <v>405</v>
      </c>
      <c r="F29" s="12" t="s">
        <v>251</v>
      </c>
      <c r="G29" s="12">
        <v>8200</v>
      </c>
      <c r="H29" s="47" t="s">
        <v>319</v>
      </c>
      <c r="I29" s="13"/>
      <c r="J29" s="63"/>
      <c r="K29" s="22" t="str">
        <f>IF(OR(I29="",J29=""),"Monthly",IF(J29&lt;I29,0,(YEAR(J29)-YEAR(I29))*12+(MONTH(J29)-MONTH(I29))+1-IF(DAY(J29)&lt;DAY(I29),1,0)))</f>
        <v>Monthly</v>
      </c>
      <c r="L29" s="15">
        <v>268316</v>
      </c>
      <c r="M29" s="15">
        <v>218372.16</v>
      </c>
      <c r="N29" s="15"/>
      <c r="O29" s="15"/>
      <c r="P29" s="14">
        <v>268316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</row>
    <row r="30" spans="1:79" ht="24" x14ac:dyDescent="0.25">
      <c r="A30" s="22" t="s">
        <v>381</v>
      </c>
      <c r="B30" s="17" t="s">
        <v>217</v>
      </c>
      <c r="C30" s="17" t="s">
        <v>406</v>
      </c>
      <c r="D30" s="17" t="s">
        <v>393</v>
      </c>
      <c r="E30" s="17" t="s">
        <v>293</v>
      </c>
      <c r="F30" s="17" t="s">
        <v>83</v>
      </c>
      <c r="G30" s="17">
        <v>8200</v>
      </c>
      <c r="H30" s="18" t="s">
        <v>78</v>
      </c>
      <c r="I30" s="17"/>
      <c r="J30" s="19"/>
      <c r="K30" s="18" t="str">
        <f>IF(OR(I30="",J30=""),"Monthly",IF(J30&lt;I30,0,(YEAR(J30)-YEAR(I30))*12+(MONTH(J30)-MONTH(I30))+1-IF(DAY(J30)&lt;DAY(I30),1,0)))</f>
        <v>Monthly</v>
      </c>
      <c r="L30" s="15">
        <v>17600</v>
      </c>
      <c r="M30" s="15">
        <v>17600</v>
      </c>
      <c r="N30" s="15"/>
      <c r="O30" s="15"/>
      <c r="P30" s="14">
        <v>17600</v>
      </c>
    </row>
    <row r="31" spans="1:79" ht="36" x14ac:dyDescent="0.25">
      <c r="A31" s="16">
        <v>42</v>
      </c>
      <c r="B31" s="17" t="s">
        <v>217</v>
      </c>
      <c r="C31" s="17" t="s">
        <v>407</v>
      </c>
      <c r="D31" s="17" t="s">
        <v>393</v>
      </c>
      <c r="E31" s="17" t="s">
        <v>293</v>
      </c>
      <c r="F31" s="17" t="s">
        <v>83</v>
      </c>
      <c r="G31" s="17">
        <v>8200</v>
      </c>
      <c r="H31" s="18" t="s">
        <v>78</v>
      </c>
      <c r="I31" s="17"/>
      <c r="J31" s="19"/>
      <c r="K31" s="18" t="str">
        <f>IF(OR(I31="",J31=""),"Monthly",IF(J31&lt;I31,0,(YEAR(J31)-YEAR(I31))*12+(MONTH(J31)-MONTH(I31))+1-IF(DAY(J31)&lt;DAY(I31),1,0)))</f>
        <v>Monthly</v>
      </c>
      <c r="L31" s="15">
        <v>33416.688000000009</v>
      </c>
      <c r="M31" s="15">
        <v>33416.688000000009</v>
      </c>
      <c r="N31" s="15"/>
      <c r="O31" s="15"/>
      <c r="P31" s="14">
        <v>33416.688000000009</v>
      </c>
    </row>
    <row r="32" spans="1:79" ht="36" x14ac:dyDescent="0.25">
      <c r="A32" s="22" t="s">
        <v>381</v>
      </c>
      <c r="B32" s="17" t="s">
        <v>217</v>
      </c>
      <c r="C32" s="17" t="s">
        <v>408</v>
      </c>
      <c r="D32" s="17" t="s">
        <v>393</v>
      </c>
      <c r="E32" s="17" t="s">
        <v>293</v>
      </c>
      <c r="F32" s="17" t="s">
        <v>83</v>
      </c>
      <c r="G32" s="17">
        <v>8200</v>
      </c>
      <c r="H32" s="18" t="s">
        <v>78</v>
      </c>
      <c r="I32" s="17"/>
      <c r="J32" s="19"/>
      <c r="K32" s="18" t="str">
        <f>IF(OR(I32="",J32=""),"Monthly",IF(J32&lt;I32,0,(YEAR(J32)-YEAR(I32))*12+(MONTH(J32)-MONTH(I32))+1-IF(DAY(J32)&lt;DAY(I32),1,0)))</f>
        <v>Monthly</v>
      </c>
      <c r="L32" s="15">
        <v>64000.000000000007</v>
      </c>
      <c r="M32" s="15">
        <v>64000.000000000007</v>
      </c>
      <c r="N32" s="15"/>
      <c r="O32" s="15"/>
      <c r="P32" s="14">
        <v>64000.000000000007</v>
      </c>
    </row>
    <row r="33" spans="1:79" ht="24" x14ac:dyDescent="0.25">
      <c r="A33" s="16">
        <v>41</v>
      </c>
      <c r="B33" s="17" t="s">
        <v>217</v>
      </c>
      <c r="C33" s="17" t="s">
        <v>409</v>
      </c>
      <c r="D33" s="17" t="s">
        <v>393</v>
      </c>
      <c r="E33" s="17" t="s">
        <v>293</v>
      </c>
      <c r="F33" s="17" t="s">
        <v>83</v>
      </c>
      <c r="G33" s="17">
        <v>8200</v>
      </c>
      <c r="H33" s="18" t="s">
        <v>78</v>
      </c>
      <c r="I33" s="17"/>
      <c r="J33" s="19"/>
      <c r="K33" s="18" t="str">
        <f>IF(OR(I33="",J33=""),"Monthly",IF(J33&lt;I33,0,(YEAR(J33)-YEAR(I33))*12+(MONTH(J33)-MONTH(I33))+1-IF(DAY(J33)&lt;DAY(I33),1,0)))</f>
        <v>Monthly</v>
      </c>
      <c r="L33" s="15">
        <v>919193.60000000009</v>
      </c>
      <c r="M33" s="15">
        <v>919193.60000000009</v>
      </c>
      <c r="N33" s="15"/>
      <c r="O33" s="15"/>
      <c r="P33" s="14">
        <v>919193.60000000009</v>
      </c>
    </row>
    <row r="34" spans="1:79" ht="24" x14ac:dyDescent="0.25">
      <c r="A34" s="16">
        <v>43</v>
      </c>
      <c r="B34" s="12" t="s">
        <v>94</v>
      </c>
      <c r="C34" s="13" t="s">
        <v>95</v>
      </c>
      <c r="D34" s="17" t="s">
        <v>376</v>
      </c>
      <c r="E34" s="13" t="s">
        <v>410</v>
      </c>
      <c r="F34" s="12" t="s">
        <v>81</v>
      </c>
      <c r="G34" s="12">
        <v>8200</v>
      </c>
      <c r="H34" s="47" t="s">
        <v>78</v>
      </c>
      <c r="I34" s="48">
        <v>45775</v>
      </c>
      <c r="J34" s="57">
        <v>46139</v>
      </c>
      <c r="K34" s="16">
        <f t="shared" ref="K34:K42" si="1">IF(OR(I34="",J34=""),"",IF(J34&lt;I34,0,(YEAR(J34)-YEAR(I34))*12+(MONTH(J34)-MONTH(I34))+1-IF(DAY(J34)&lt;DAY(I34),1,0)))</f>
        <v>12</v>
      </c>
      <c r="L34" s="14">
        <v>23040</v>
      </c>
      <c r="M34" s="14">
        <v>302.92931506849345</v>
      </c>
      <c r="N34" s="14"/>
      <c r="O34" s="14"/>
      <c r="P34" s="14">
        <v>23040</v>
      </c>
    </row>
    <row r="35" spans="1:79" ht="24" x14ac:dyDescent="0.25">
      <c r="A35" s="16">
        <v>45</v>
      </c>
      <c r="B35" s="12" t="s">
        <v>266</v>
      </c>
      <c r="C35" s="13" t="s">
        <v>267</v>
      </c>
      <c r="D35" s="17" t="s">
        <v>376</v>
      </c>
      <c r="E35" s="13" t="s">
        <v>291</v>
      </c>
      <c r="F35" s="12" t="s">
        <v>92</v>
      </c>
      <c r="G35" s="12">
        <v>8200</v>
      </c>
      <c r="H35" s="47" t="s">
        <v>78</v>
      </c>
      <c r="I35" s="48">
        <v>45839</v>
      </c>
      <c r="J35" s="57">
        <v>46203</v>
      </c>
      <c r="K35" s="16">
        <f t="shared" si="1"/>
        <v>12</v>
      </c>
      <c r="L35" s="14">
        <v>75000</v>
      </c>
      <c r="M35" s="14">
        <v>15563.629808219172</v>
      </c>
      <c r="N35" s="14"/>
      <c r="O35" s="14"/>
      <c r="P35" s="14">
        <v>75000</v>
      </c>
    </row>
    <row r="36" spans="1:79" ht="24" x14ac:dyDescent="0.25">
      <c r="A36" s="16">
        <v>46</v>
      </c>
      <c r="B36" s="12" t="s">
        <v>96</v>
      </c>
      <c r="C36" s="13" t="s">
        <v>98</v>
      </c>
      <c r="D36" s="17" t="s">
        <v>377</v>
      </c>
      <c r="E36" s="13" t="s">
        <v>411</v>
      </c>
      <c r="F36" s="12" t="s">
        <v>97</v>
      </c>
      <c r="G36" s="12">
        <v>8200</v>
      </c>
      <c r="H36" s="47" t="s">
        <v>78</v>
      </c>
      <c r="I36" s="48">
        <v>46084</v>
      </c>
      <c r="J36" s="49">
        <v>46392</v>
      </c>
      <c r="K36" s="16">
        <f t="shared" si="1"/>
        <v>11</v>
      </c>
      <c r="L36" s="14">
        <v>836817.42926032352</v>
      </c>
      <c r="M36" s="14">
        <v>59654.380716634216</v>
      </c>
      <c r="N36" s="21">
        <v>-130000</v>
      </c>
      <c r="O36" s="15"/>
      <c r="P36" s="14">
        <v>706817.42926032352</v>
      </c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</row>
    <row r="37" spans="1:79" ht="24" x14ac:dyDescent="0.25">
      <c r="A37" s="16">
        <v>47</v>
      </c>
      <c r="B37" s="12" t="s">
        <v>198</v>
      </c>
      <c r="C37" s="13" t="s">
        <v>199</v>
      </c>
      <c r="D37" s="17" t="s">
        <v>404</v>
      </c>
      <c r="E37" s="13" t="s">
        <v>412</v>
      </c>
      <c r="F37" s="12" t="s">
        <v>92</v>
      </c>
      <c r="G37" s="12">
        <v>8200</v>
      </c>
      <c r="H37" s="47" t="s">
        <v>78</v>
      </c>
      <c r="I37" s="48">
        <v>45839</v>
      </c>
      <c r="J37" s="57">
        <v>46203</v>
      </c>
      <c r="K37" s="16">
        <f t="shared" si="1"/>
        <v>12</v>
      </c>
      <c r="L37" s="14">
        <v>9600</v>
      </c>
      <c r="M37" s="14">
        <v>1578.8438356164388</v>
      </c>
      <c r="N37" s="14"/>
      <c r="O37" s="15"/>
      <c r="P37" s="14">
        <v>9600</v>
      </c>
    </row>
    <row r="38" spans="1:79" ht="24" x14ac:dyDescent="0.25">
      <c r="A38" s="16">
        <v>5</v>
      </c>
      <c r="B38" s="12" t="s">
        <v>188</v>
      </c>
      <c r="C38" s="13" t="s">
        <v>189</v>
      </c>
      <c r="D38" s="17" t="s">
        <v>385</v>
      </c>
      <c r="E38" s="13" t="s">
        <v>413</v>
      </c>
      <c r="F38" s="12" t="s">
        <v>77</v>
      </c>
      <c r="G38" s="12">
        <v>8200</v>
      </c>
      <c r="H38" s="47" t="s">
        <v>0</v>
      </c>
      <c r="I38" s="48">
        <v>45839</v>
      </c>
      <c r="J38" s="57">
        <v>46203</v>
      </c>
      <c r="K38" s="16">
        <f t="shared" si="1"/>
        <v>12</v>
      </c>
      <c r="L38" s="14">
        <v>15000</v>
      </c>
      <c r="M38" s="14">
        <v>-37486.177891999992</v>
      </c>
      <c r="N38" s="14"/>
      <c r="O38" s="15"/>
      <c r="P38" s="14">
        <v>15000</v>
      </c>
    </row>
    <row r="39" spans="1:79" x14ac:dyDescent="0.25">
      <c r="A39" s="16">
        <v>53</v>
      </c>
      <c r="B39" s="50" t="s">
        <v>30</v>
      </c>
      <c r="C39" s="13" t="s">
        <v>99</v>
      </c>
      <c r="D39" s="17" t="s">
        <v>393</v>
      </c>
      <c r="E39" s="13" t="s">
        <v>293</v>
      </c>
      <c r="F39" s="12" t="s">
        <v>83</v>
      </c>
      <c r="G39" s="12">
        <v>8200</v>
      </c>
      <c r="H39" s="47" t="s">
        <v>78</v>
      </c>
      <c r="I39" s="48">
        <v>46014</v>
      </c>
      <c r="J39" s="49">
        <v>46378</v>
      </c>
      <c r="K39" s="16">
        <f t="shared" si="1"/>
        <v>12</v>
      </c>
      <c r="L39" s="14">
        <v>819389.08416438382</v>
      </c>
      <c r="M39" s="14">
        <v>269261.89443835628</v>
      </c>
      <c r="N39" s="15"/>
      <c r="O39" s="15"/>
      <c r="P39" s="14">
        <v>819389.08416438382</v>
      </c>
    </row>
    <row r="40" spans="1:79" x14ac:dyDescent="0.25">
      <c r="A40" s="16">
        <v>54</v>
      </c>
      <c r="B40" s="50" t="s">
        <v>30</v>
      </c>
      <c r="C40" s="13" t="s">
        <v>100</v>
      </c>
      <c r="D40" s="17" t="s">
        <v>393</v>
      </c>
      <c r="E40" s="13" t="s">
        <v>293</v>
      </c>
      <c r="F40" s="12" t="s">
        <v>83</v>
      </c>
      <c r="G40" s="12">
        <v>8200</v>
      </c>
      <c r="H40" s="47" t="s">
        <v>78</v>
      </c>
      <c r="I40" s="48">
        <v>45892</v>
      </c>
      <c r="J40" s="49">
        <v>46378</v>
      </c>
      <c r="K40" s="16">
        <f t="shared" si="1"/>
        <v>16</v>
      </c>
      <c r="L40" s="14">
        <v>144542.93983561647</v>
      </c>
      <c r="M40" s="14">
        <v>-132147.40276712322</v>
      </c>
      <c r="N40" s="15"/>
      <c r="O40" s="15"/>
      <c r="P40" s="14">
        <v>144542.93983561647</v>
      </c>
    </row>
    <row r="41" spans="1:79" ht="24" x14ac:dyDescent="0.25">
      <c r="A41" s="16">
        <v>9</v>
      </c>
      <c r="B41" s="12" t="s">
        <v>213</v>
      </c>
      <c r="C41" s="13" t="s">
        <v>414</v>
      </c>
      <c r="D41" s="17" t="s">
        <v>389</v>
      </c>
      <c r="E41" s="13" t="s">
        <v>405</v>
      </c>
      <c r="F41" s="12" t="s">
        <v>141</v>
      </c>
      <c r="G41" s="12">
        <v>8200</v>
      </c>
      <c r="H41" s="47" t="s">
        <v>0</v>
      </c>
      <c r="I41" s="48">
        <v>45931</v>
      </c>
      <c r="J41" s="49">
        <v>47026</v>
      </c>
      <c r="K41" s="16">
        <f t="shared" si="1"/>
        <v>36</v>
      </c>
      <c r="L41" s="14">
        <v>105180.06637773722</v>
      </c>
      <c r="M41" s="14">
        <v>-13715.511122262775</v>
      </c>
      <c r="N41" s="14"/>
      <c r="O41" s="14"/>
      <c r="P41" s="14">
        <v>105180.06637773722</v>
      </c>
    </row>
    <row r="42" spans="1:79" ht="24" x14ac:dyDescent="0.25">
      <c r="A42" s="16">
        <v>8</v>
      </c>
      <c r="B42" s="12" t="s">
        <v>213</v>
      </c>
      <c r="C42" s="13" t="s">
        <v>214</v>
      </c>
      <c r="D42" s="17" t="s">
        <v>376</v>
      </c>
      <c r="E42" s="13" t="s">
        <v>405</v>
      </c>
      <c r="F42" s="12" t="s">
        <v>81</v>
      </c>
      <c r="G42" s="12">
        <v>8200</v>
      </c>
      <c r="H42" s="47" t="s">
        <v>78</v>
      </c>
      <c r="I42" s="48">
        <v>45931</v>
      </c>
      <c r="J42" s="49">
        <v>47026</v>
      </c>
      <c r="K42" s="16">
        <f t="shared" si="1"/>
        <v>36</v>
      </c>
      <c r="L42" s="14">
        <v>161352.64598540144</v>
      </c>
      <c r="M42" s="14">
        <v>63194.526642335753</v>
      </c>
      <c r="N42" s="14"/>
      <c r="O42" s="14"/>
      <c r="P42" s="14">
        <v>161352.64598540144</v>
      </c>
    </row>
    <row r="43" spans="1:79" ht="48" x14ac:dyDescent="0.25">
      <c r="A43" s="16">
        <v>9</v>
      </c>
      <c r="B43" s="17" t="s">
        <v>213</v>
      </c>
      <c r="C43" s="17" t="s">
        <v>415</v>
      </c>
      <c r="D43" s="55" t="s">
        <v>391</v>
      </c>
      <c r="E43" s="17" t="s">
        <v>405</v>
      </c>
      <c r="F43" s="18" t="s">
        <v>77</v>
      </c>
      <c r="G43" s="17">
        <v>8200</v>
      </c>
      <c r="H43" s="18" t="s">
        <v>0</v>
      </c>
      <c r="I43" s="17"/>
      <c r="J43" s="19"/>
      <c r="K43" s="18" t="s">
        <v>416</v>
      </c>
      <c r="L43" s="15">
        <v>10000</v>
      </c>
      <c r="M43" s="15">
        <v>10000</v>
      </c>
      <c r="N43" s="15"/>
      <c r="O43" s="15"/>
      <c r="P43" s="14">
        <v>10000</v>
      </c>
    </row>
    <row r="44" spans="1:79" ht="36" x14ac:dyDescent="0.25">
      <c r="A44" s="16" t="s">
        <v>417</v>
      </c>
      <c r="B44" s="13" t="s">
        <v>357</v>
      </c>
      <c r="C44" s="13"/>
      <c r="D44" s="13"/>
      <c r="E44" s="13"/>
      <c r="F44" s="13" t="s">
        <v>141</v>
      </c>
      <c r="G44" s="12">
        <v>8200</v>
      </c>
      <c r="H44" s="47" t="s">
        <v>0</v>
      </c>
      <c r="I44" s="13"/>
      <c r="J44" s="63"/>
      <c r="K44" s="22"/>
      <c r="L44" s="15">
        <v>-273733.86777143436</v>
      </c>
      <c r="M44" s="15">
        <v>-176270.97057473112</v>
      </c>
      <c r="N44" s="15"/>
      <c r="O44" s="15"/>
      <c r="P44" s="14">
        <v>-273733.86777143436</v>
      </c>
    </row>
    <row r="45" spans="1:79" ht="36" x14ac:dyDescent="0.25">
      <c r="A45" s="16">
        <v>56</v>
      </c>
      <c r="B45" s="12" t="s">
        <v>334</v>
      </c>
      <c r="C45" s="13" t="s">
        <v>418</v>
      </c>
      <c r="D45" s="13" t="s">
        <v>419</v>
      </c>
      <c r="E45" s="13" t="s">
        <v>412</v>
      </c>
      <c r="F45" s="12" t="s">
        <v>81</v>
      </c>
      <c r="G45" s="12">
        <v>8200</v>
      </c>
      <c r="H45" s="47" t="s">
        <v>78</v>
      </c>
      <c r="I45" s="48">
        <v>45748</v>
      </c>
      <c r="J45" s="57">
        <v>46112</v>
      </c>
      <c r="K45" s="16">
        <f>IF(OR(I45="",J45=""),"",IF(J45&lt;I45,0,(YEAR(J45)-YEAR(I45))*12+(MONTH(J45)-MONTH(I45))+1-IF(DAY(J45)&lt;DAY(I45),1,0)))</f>
        <v>12</v>
      </c>
      <c r="L45" s="14">
        <v>30750</v>
      </c>
      <c r="M45" s="14">
        <v>626.3032602739695</v>
      </c>
      <c r="N45" s="14"/>
      <c r="O45" s="14"/>
      <c r="P45" s="14">
        <v>30750</v>
      </c>
    </row>
    <row r="46" spans="1:79" ht="36" x14ac:dyDescent="0.25">
      <c r="A46" s="22">
        <v>209</v>
      </c>
      <c r="B46" s="17" t="s">
        <v>209</v>
      </c>
      <c r="C46" s="17" t="s">
        <v>420</v>
      </c>
      <c r="D46" s="17" t="s">
        <v>389</v>
      </c>
      <c r="E46" s="17" t="s">
        <v>295</v>
      </c>
      <c r="F46" s="18" t="s">
        <v>97</v>
      </c>
      <c r="G46" s="17">
        <v>8200</v>
      </c>
      <c r="H46" s="18" t="s">
        <v>0</v>
      </c>
      <c r="I46" s="17"/>
      <c r="J46" s="19"/>
      <c r="K46" s="18" t="str">
        <f>IF(OR(I46="",J46=""),"Monthly",IF(J46&lt;I46,0,(YEAR(J46)-YEAR(I46))*12+(MONTH(J46)-MONTH(I46))+1-IF(DAY(J46)&lt;DAY(I46),1,0)))</f>
        <v>Monthly</v>
      </c>
      <c r="L46" s="15">
        <v>31886.842589375137</v>
      </c>
      <c r="M46" s="15">
        <v>31886.842589375137</v>
      </c>
      <c r="N46" s="15"/>
      <c r="O46" s="15"/>
      <c r="P46" s="14">
        <v>31886.842589375137</v>
      </c>
    </row>
    <row r="47" spans="1:79" x14ac:dyDescent="0.25">
      <c r="A47" s="16">
        <v>210</v>
      </c>
      <c r="B47" s="12" t="s">
        <v>211</v>
      </c>
      <c r="C47" s="13"/>
      <c r="D47" s="17" t="s">
        <v>421</v>
      </c>
      <c r="E47" s="13" t="s">
        <v>291</v>
      </c>
      <c r="F47" s="12" t="s">
        <v>114</v>
      </c>
      <c r="G47" s="12">
        <v>8200</v>
      </c>
      <c r="H47" s="16"/>
      <c r="I47" s="48"/>
      <c r="J47" s="49"/>
      <c r="K47" s="16" t="str">
        <f t="shared" ref="K47:K56" si="2">IF(OR(I47="",J47=""),"",IF(J47&lt;I47,0,(YEAR(J47)-YEAR(I47))*12+(MONTH(J47)-MONTH(I47))+1-IF(DAY(J47)&lt;DAY(I47),1,0)))</f>
        <v/>
      </c>
      <c r="L47" s="14">
        <v>497.38700000000006</v>
      </c>
      <c r="M47" s="14">
        <v>45.217000000000041</v>
      </c>
      <c r="N47" s="14"/>
      <c r="O47" s="14"/>
      <c r="P47" s="14">
        <v>497.38700000000006</v>
      </c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</row>
    <row r="48" spans="1:79" ht="24" x14ac:dyDescent="0.25">
      <c r="A48" s="16">
        <v>58</v>
      </c>
      <c r="B48" s="50" t="s">
        <v>332</v>
      </c>
      <c r="C48" s="13" t="s">
        <v>422</v>
      </c>
      <c r="D48" s="13" t="s">
        <v>419</v>
      </c>
      <c r="E48" s="13" t="s">
        <v>412</v>
      </c>
      <c r="F48" s="12" t="s">
        <v>81</v>
      </c>
      <c r="G48" s="12">
        <v>8200</v>
      </c>
      <c r="H48" s="47" t="s">
        <v>78</v>
      </c>
      <c r="I48" s="48">
        <v>45945</v>
      </c>
      <c r="J48" s="49">
        <v>46309</v>
      </c>
      <c r="K48" s="16">
        <f t="shared" si="2"/>
        <v>12</v>
      </c>
      <c r="L48" s="14">
        <v>50082.191780821915</v>
      </c>
      <c r="M48" s="14">
        <v>-20510.931232876712</v>
      </c>
      <c r="N48" s="14"/>
      <c r="O48" s="14"/>
      <c r="P48" s="14">
        <v>50082.191780821915</v>
      </c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</row>
    <row r="49" spans="1:79" ht="24" x14ac:dyDescent="0.25">
      <c r="A49" s="16">
        <v>59</v>
      </c>
      <c r="B49" s="12" t="s">
        <v>101</v>
      </c>
      <c r="C49" s="13" t="s">
        <v>423</v>
      </c>
      <c r="D49" s="17" t="s">
        <v>424</v>
      </c>
      <c r="E49" s="13" t="s">
        <v>425</v>
      </c>
      <c r="F49" s="12" t="s">
        <v>89</v>
      </c>
      <c r="G49" s="12">
        <v>8200</v>
      </c>
      <c r="H49" s="47" t="s">
        <v>78</v>
      </c>
      <c r="I49" s="48">
        <v>46037</v>
      </c>
      <c r="J49" s="49">
        <v>46401</v>
      </c>
      <c r="K49" s="16">
        <f t="shared" si="2"/>
        <v>12</v>
      </c>
      <c r="L49" s="14">
        <v>43880.526678082198</v>
      </c>
      <c r="M49" s="14">
        <v>8618.553527397271</v>
      </c>
      <c r="N49" s="14"/>
      <c r="O49" s="14"/>
      <c r="P49" s="14">
        <v>43880.526678082198</v>
      </c>
    </row>
    <row r="50" spans="1:79" ht="24" x14ac:dyDescent="0.25">
      <c r="A50" s="16">
        <v>60</v>
      </c>
      <c r="B50" s="12" t="s">
        <v>102</v>
      </c>
      <c r="C50" s="13" t="s">
        <v>103</v>
      </c>
      <c r="D50" s="17" t="s">
        <v>426</v>
      </c>
      <c r="E50" s="13" t="s">
        <v>427</v>
      </c>
      <c r="F50" s="12" t="s">
        <v>81</v>
      </c>
      <c r="G50" s="12">
        <v>8200</v>
      </c>
      <c r="H50" s="47" t="s">
        <v>78</v>
      </c>
      <c r="I50" s="48">
        <v>45382</v>
      </c>
      <c r="J50" s="49">
        <v>46476</v>
      </c>
      <c r="K50" s="16">
        <f t="shared" si="2"/>
        <v>36</v>
      </c>
      <c r="L50" s="14">
        <v>116104.27123287669</v>
      </c>
      <c r="M50" s="14">
        <v>-3782.2482191781019</v>
      </c>
      <c r="N50" s="14"/>
      <c r="O50" s="14"/>
      <c r="P50" s="14">
        <v>116104.27123287669</v>
      </c>
    </row>
    <row r="51" spans="1:79" x14ac:dyDescent="0.25">
      <c r="A51" s="16">
        <v>61</v>
      </c>
      <c r="B51" s="12" t="s">
        <v>218</v>
      </c>
      <c r="C51" s="13" t="s">
        <v>219</v>
      </c>
      <c r="D51" s="13" t="s">
        <v>377</v>
      </c>
      <c r="E51" s="13" t="s">
        <v>428</v>
      </c>
      <c r="F51" s="12" t="s">
        <v>81</v>
      </c>
      <c r="G51" s="12">
        <v>8200</v>
      </c>
      <c r="H51" s="47" t="s">
        <v>78</v>
      </c>
      <c r="I51" s="48">
        <v>45430</v>
      </c>
      <c r="J51" s="57">
        <v>46159</v>
      </c>
      <c r="K51" s="16">
        <f t="shared" si="2"/>
        <v>24</v>
      </c>
      <c r="L51" s="14">
        <v>55000.000000000007</v>
      </c>
      <c r="M51" s="14">
        <v>3994.9463470319679</v>
      </c>
      <c r="N51" s="14"/>
      <c r="O51" s="14"/>
      <c r="P51" s="14">
        <v>55000.000000000007</v>
      </c>
    </row>
    <row r="52" spans="1:79" ht="24" x14ac:dyDescent="0.25">
      <c r="A52" s="16">
        <v>63</v>
      </c>
      <c r="B52" s="12" t="s">
        <v>104</v>
      </c>
      <c r="C52" s="13" t="s">
        <v>105</v>
      </c>
      <c r="D52" s="17" t="s">
        <v>429</v>
      </c>
      <c r="E52" s="13" t="s">
        <v>405</v>
      </c>
      <c r="F52" s="12" t="s">
        <v>81</v>
      </c>
      <c r="G52" s="12">
        <v>8800</v>
      </c>
      <c r="H52" s="47" t="s">
        <v>78</v>
      </c>
      <c r="I52" s="48">
        <v>45870</v>
      </c>
      <c r="J52" s="49">
        <v>46599</v>
      </c>
      <c r="K52" s="16">
        <f t="shared" si="2"/>
        <v>24</v>
      </c>
      <c r="L52" s="14">
        <v>31644</v>
      </c>
      <c r="M52" s="14">
        <v>4747.0013698630137</v>
      </c>
      <c r="N52" s="14"/>
      <c r="O52" s="59">
        <v>-31644</v>
      </c>
      <c r="P52" s="14">
        <v>0</v>
      </c>
    </row>
    <row r="53" spans="1:79" ht="36" x14ac:dyDescent="0.25">
      <c r="A53" s="16">
        <v>66</v>
      </c>
      <c r="B53" s="12" t="s">
        <v>106</v>
      </c>
      <c r="C53" s="13" t="s">
        <v>430</v>
      </c>
      <c r="D53" s="17" t="s">
        <v>393</v>
      </c>
      <c r="E53" s="13" t="s">
        <v>293</v>
      </c>
      <c r="F53" s="12" t="s">
        <v>83</v>
      </c>
      <c r="G53" s="12">
        <v>8200</v>
      </c>
      <c r="H53" s="47" t="s">
        <v>78</v>
      </c>
      <c r="I53" s="48">
        <v>46023</v>
      </c>
      <c r="J53" s="49">
        <v>46387</v>
      </c>
      <c r="K53" s="16">
        <f t="shared" si="2"/>
        <v>12</v>
      </c>
      <c r="L53" s="14">
        <v>74680.821917808222</v>
      </c>
      <c r="M53" s="14">
        <v>40140.112602739726</v>
      </c>
      <c r="N53" s="14"/>
      <c r="O53" s="14"/>
      <c r="P53" s="14">
        <v>74680.821917808222</v>
      </c>
    </row>
    <row r="54" spans="1:79" x14ac:dyDescent="0.25">
      <c r="A54" s="16">
        <v>11</v>
      </c>
      <c r="B54" s="12" t="s">
        <v>190</v>
      </c>
      <c r="C54" s="13" t="s">
        <v>431</v>
      </c>
      <c r="D54" s="17" t="s">
        <v>389</v>
      </c>
      <c r="E54" s="13" t="s">
        <v>295</v>
      </c>
      <c r="F54" s="12" t="s">
        <v>97</v>
      </c>
      <c r="G54" s="12">
        <v>8200</v>
      </c>
      <c r="H54" s="47" t="s">
        <v>78</v>
      </c>
      <c r="I54" s="48"/>
      <c r="J54" s="49"/>
      <c r="K54" s="16" t="str">
        <f t="shared" si="2"/>
        <v/>
      </c>
      <c r="L54" s="14">
        <v>25000</v>
      </c>
      <c r="M54" s="14">
        <v>25000</v>
      </c>
      <c r="N54" s="14"/>
      <c r="O54" s="14"/>
      <c r="P54" s="14">
        <v>25000</v>
      </c>
    </row>
    <row r="55" spans="1:79" x14ac:dyDescent="0.25">
      <c r="A55" s="16">
        <v>11</v>
      </c>
      <c r="B55" s="12" t="s">
        <v>190</v>
      </c>
      <c r="C55" s="13"/>
      <c r="D55" s="17" t="s">
        <v>389</v>
      </c>
      <c r="E55" s="13" t="s">
        <v>295</v>
      </c>
      <c r="F55" s="12" t="s">
        <v>141</v>
      </c>
      <c r="G55" s="12">
        <v>8200</v>
      </c>
      <c r="H55" s="47" t="s">
        <v>0</v>
      </c>
      <c r="I55" s="48"/>
      <c r="J55" s="49"/>
      <c r="K55" s="16" t="str">
        <f t="shared" si="2"/>
        <v/>
      </c>
      <c r="L55" s="24">
        <v>973271.20000000007</v>
      </c>
      <c r="M55" s="24">
        <v>44401.090507999994</v>
      </c>
      <c r="N55" s="24"/>
      <c r="O55" s="24"/>
      <c r="P55" s="14">
        <v>973271.20000000007</v>
      </c>
    </row>
    <row r="56" spans="1:79" ht="24" x14ac:dyDescent="0.25">
      <c r="A56" s="16">
        <v>67</v>
      </c>
      <c r="B56" s="50" t="s">
        <v>328</v>
      </c>
      <c r="C56" s="13" t="s">
        <v>329</v>
      </c>
      <c r="D56" s="13" t="s">
        <v>419</v>
      </c>
      <c r="E56" s="13" t="s">
        <v>432</v>
      </c>
      <c r="F56" s="12" t="s">
        <v>81</v>
      </c>
      <c r="G56" s="12">
        <v>8200</v>
      </c>
      <c r="H56" s="47" t="s">
        <v>78</v>
      </c>
      <c r="I56" s="48">
        <v>45839</v>
      </c>
      <c r="J56" s="57">
        <v>46203</v>
      </c>
      <c r="K56" s="16">
        <f t="shared" si="2"/>
        <v>12</v>
      </c>
      <c r="L56" s="14">
        <v>420000</v>
      </c>
      <c r="M56" s="14">
        <v>37652.32082191779</v>
      </c>
      <c r="N56" s="14"/>
      <c r="O56" s="14"/>
      <c r="P56" s="14">
        <v>420000</v>
      </c>
    </row>
    <row r="57" spans="1:79" ht="24" x14ac:dyDescent="0.25">
      <c r="A57" s="16">
        <v>294</v>
      </c>
      <c r="B57" s="12" t="s">
        <v>66</v>
      </c>
      <c r="C57" s="13" t="s">
        <v>297</v>
      </c>
      <c r="D57" s="17" t="s">
        <v>433</v>
      </c>
      <c r="E57" s="17" t="s">
        <v>434</v>
      </c>
      <c r="F57" s="12" t="s">
        <v>92</v>
      </c>
      <c r="G57" s="12">
        <v>8700</v>
      </c>
      <c r="H57" s="47" t="s">
        <v>0</v>
      </c>
      <c r="I57" s="13"/>
      <c r="J57" s="63"/>
      <c r="K57" s="22" t="str">
        <f>IF(OR(I57="",J57=""),"Monthly",IF(J57&lt;I57,0,(YEAR(J57)-YEAR(I57))*12+(MONTH(J57)-MONTH(I57))+1-IF(DAY(J57)&lt;DAY(I57),1,0)))</f>
        <v>Monthly</v>
      </c>
      <c r="L57" s="15">
        <v>220000.00000000003</v>
      </c>
      <c r="M57" s="15">
        <v>105269.41000000003</v>
      </c>
      <c r="N57" s="15"/>
      <c r="O57" s="15"/>
      <c r="P57" s="14">
        <v>220000.00000000003</v>
      </c>
    </row>
    <row r="58" spans="1:79" ht="24" x14ac:dyDescent="0.25">
      <c r="A58" s="16">
        <v>295</v>
      </c>
      <c r="B58" s="12" t="s">
        <v>66</v>
      </c>
      <c r="C58" s="13" t="s">
        <v>298</v>
      </c>
      <c r="D58" s="17" t="s">
        <v>393</v>
      </c>
      <c r="E58" s="13" t="s">
        <v>293</v>
      </c>
      <c r="F58" s="12" t="s">
        <v>83</v>
      </c>
      <c r="G58" s="12">
        <v>8700</v>
      </c>
      <c r="H58" s="47" t="s">
        <v>0</v>
      </c>
      <c r="I58" s="13"/>
      <c r="J58" s="63"/>
      <c r="K58" s="22" t="str">
        <f>IF(OR(I58="",J58=""),"Monthly",IF(J58&lt;I58,0,(YEAR(J58)-YEAR(I58))*12+(MONTH(J58)-MONTH(I58))+1-IF(DAY(J58)&lt;DAY(I58),1,0)))</f>
        <v>Monthly</v>
      </c>
      <c r="L58" s="15">
        <v>1837880.0000000002</v>
      </c>
      <c r="M58" s="15">
        <v>759035.53333000024</v>
      </c>
      <c r="N58" s="15"/>
      <c r="O58" s="21">
        <v>-570000</v>
      </c>
      <c r="P58" s="14">
        <v>1267880.0000000002</v>
      </c>
    </row>
    <row r="59" spans="1:79" ht="24" x14ac:dyDescent="0.25">
      <c r="A59" s="16">
        <v>13</v>
      </c>
      <c r="B59" s="12" t="s">
        <v>37</v>
      </c>
      <c r="C59" s="13" t="s">
        <v>107</v>
      </c>
      <c r="D59" s="13" t="s">
        <v>377</v>
      </c>
      <c r="E59" s="13" t="s">
        <v>435</v>
      </c>
      <c r="F59" s="12" t="s">
        <v>77</v>
      </c>
      <c r="G59" s="12">
        <v>8200</v>
      </c>
      <c r="H59" s="47" t="s">
        <v>78</v>
      </c>
      <c r="I59" s="48">
        <v>45494</v>
      </c>
      <c r="J59" s="49">
        <v>46223</v>
      </c>
      <c r="K59" s="16">
        <f>IF(OR(I59="",J59=""),"",IF(J59&lt;I59,0,(YEAR(J59)-YEAR(I59))*12+(MONTH(J59)-MONTH(I59))+1-IF(DAY(J59)&lt;DAY(I59),1,0)))</f>
        <v>24</v>
      </c>
      <c r="L59" s="14">
        <v>44383.561643835616</v>
      </c>
      <c r="M59" s="14">
        <v>37163.835616438359</v>
      </c>
      <c r="N59" s="21">
        <v>-20000</v>
      </c>
      <c r="O59" s="15"/>
      <c r="P59" s="14">
        <v>24383.561643835616</v>
      </c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</row>
    <row r="60" spans="1:79" ht="24" x14ac:dyDescent="0.25">
      <c r="A60" s="22" t="s">
        <v>381</v>
      </c>
      <c r="B60" s="17" t="s">
        <v>281</v>
      </c>
      <c r="C60" s="17" t="s">
        <v>436</v>
      </c>
      <c r="D60" s="17" t="s">
        <v>377</v>
      </c>
      <c r="E60" s="17" t="s">
        <v>282</v>
      </c>
      <c r="F60" s="23" t="s">
        <v>89</v>
      </c>
      <c r="G60" s="17">
        <v>8200</v>
      </c>
      <c r="H60" s="18"/>
      <c r="I60" s="17"/>
      <c r="J60" s="19"/>
      <c r="K60" s="18" t="str">
        <f>IF(OR(I60="",J60=""),"Monthly",IF(J60&lt;I60,0,(YEAR(J60)-YEAR(I60))*12+(MONTH(J60)-MONTH(I60))+1-IF(DAY(J60)&lt;DAY(I60),1,0)))</f>
        <v>Monthly</v>
      </c>
      <c r="L60" s="15">
        <v>99999.999999999985</v>
      </c>
      <c r="M60" s="15">
        <v>99999.999999999985</v>
      </c>
      <c r="N60" s="15"/>
      <c r="O60" s="15"/>
      <c r="P60" s="14">
        <v>99999.999999999985</v>
      </c>
    </row>
    <row r="61" spans="1:79" ht="48" x14ac:dyDescent="0.25">
      <c r="A61" s="16">
        <v>68</v>
      </c>
      <c r="B61" s="12" t="s">
        <v>220</v>
      </c>
      <c r="C61" s="13" t="s">
        <v>221</v>
      </c>
      <c r="D61" s="17" t="s">
        <v>377</v>
      </c>
      <c r="E61" s="13" t="s">
        <v>437</v>
      </c>
      <c r="F61" s="12" t="s">
        <v>77</v>
      </c>
      <c r="G61" s="12">
        <v>8200</v>
      </c>
      <c r="H61" s="47" t="s">
        <v>78</v>
      </c>
      <c r="I61" s="48">
        <v>45681</v>
      </c>
      <c r="J61" s="49">
        <v>47141</v>
      </c>
      <c r="K61" s="16">
        <f>IF(OR(I61="",J61=""),"",IF(J61&lt;I61,0,(YEAR(J61)-YEAR(I61))*12+(MONTH(J61)-MONTH(I61))+1-IF(DAY(J61)&lt;DAY(I61),1,0)))</f>
        <v>48</v>
      </c>
      <c r="L61" s="14">
        <v>358060.20437956206</v>
      </c>
      <c r="M61" s="14">
        <v>-34079.342700729962</v>
      </c>
      <c r="N61" s="14"/>
      <c r="O61" s="14"/>
      <c r="P61" s="14">
        <v>358060.20437956206</v>
      </c>
    </row>
    <row r="62" spans="1:79" ht="36" x14ac:dyDescent="0.25">
      <c r="A62" s="16">
        <v>69</v>
      </c>
      <c r="B62" s="12" t="s">
        <v>108</v>
      </c>
      <c r="C62" s="13" t="s">
        <v>438</v>
      </c>
      <c r="D62" s="17" t="s">
        <v>377</v>
      </c>
      <c r="E62" s="13" t="s">
        <v>439</v>
      </c>
      <c r="F62" s="12" t="s">
        <v>89</v>
      </c>
      <c r="G62" s="12">
        <v>8200</v>
      </c>
      <c r="H62" s="47" t="s">
        <v>78</v>
      </c>
      <c r="I62" s="48">
        <v>45799</v>
      </c>
      <c r="J62" s="49">
        <v>46528</v>
      </c>
      <c r="K62" s="16">
        <f>IF(OR(I62="",J62=""),"",IF(J62&lt;I62,0,(YEAR(J62)-YEAR(I62))*12+(MONTH(J62)-MONTH(I62))+1-IF(DAY(J62)&lt;DAY(I62),1,0)))</f>
        <v>24</v>
      </c>
      <c r="L62" s="14">
        <v>41901.418213698635</v>
      </c>
      <c r="M62" s="14">
        <v>-5481.2593589041062</v>
      </c>
      <c r="N62" s="14"/>
      <c r="O62" s="14"/>
      <c r="P62" s="14">
        <v>41901.418213698635</v>
      </c>
    </row>
    <row r="63" spans="1:79" ht="24" x14ac:dyDescent="0.25">
      <c r="A63" s="16">
        <v>70</v>
      </c>
      <c r="B63" s="12" t="s">
        <v>109</v>
      </c>
      <c r="C63" s="13" t="s">
        <v>110</v>
      </c>
      <c r="D63" s="17" t="s">
        <v>377</v>
      </c>
      <c r="E63" s="17" t="s">
        <v>428</v>
      </c>
      <c r="F63" s="12" t="s">
        <v>89</v>
      </c>
      <c r="G63" s="12">
        <v>8200</v>
      </c>
      <c r="H63" s="47" t="s">
        <v>78</v>
      </c>
      <c r="I63" s="48">
        <v>45870</v>
      </c>
      <c r="J63" s="49">
        <v>46234</v>
      </c>
      <c r="K63" s="16">
        <f>IF(OR(I63="",J63=""),"",IF(J63&lt;I63,0,(YEAR(J63)-YEAR(I63))*12+(MONTH(J63)-MONTH(I63))+1-IF(DAY(J63)&lt;DAY(I63),1,0)))</f>
        <v>12</v>
      </c>
      <c r="L63" s="14">
        <v>18158.904109589042</v>
      </c>
      <c r="M63" s="14">
        <v>2862.8989041095883</v>
      </c>
      <c r="N63" s="14"/>
      <c r="O63" s="14"/>
      <c r="P63" s="14">
        <v>18158.904109589042</v>
      </c>
    </row>
    <row r="64" spans="1:79" ht="24" x14ac:dyDescent="0.25">
      <c r="A64" s="16">
        <v>71</v>
      </c>
      <c r="B64" s="12" t="s">
        <v>111</v>
      </c>
      <c r="C64" s="13" t="s">
        <v>112</v>
      </c>
      <c r="D64" s="17" t="s">
        <v>393</v>
      </c>
      <c r="E64" s="13" t="s">
        <v>293</v>
      </c>
      <c r="F64" s="12" t="s">
        <v>83</v>
      </c>
      <c r="G64" s="12">
        <v>8200</v>
      </c>
      <c r="H64" s="47" t="s">
        <v>78</v>
      </c>
      <c r="I64" s="48">
        <v>45839</v>
      </c>
      <c r="J64" s="57">
        <v>46203</v>
      </c>
      <c r="K64" s="16">
        <f>IF(OR(I64="",J64=""),"",IF(J64&lt;I64,0,(YEAR(J64)-YEAR(I64))*12+(MONTH(J64)-MONTH(I64))+1-IF(DAY(J64)&lt;DAY(I64),1,0)))</f>
        <v>12</v>
      </c>
      <c r="L64" s="14">
        <v>50400</v>
      </c>
      <c r="M64" s="14">
        <v>14189.615890410969</v>
      </c>
      <c r="N64" s="14"/>
      <c r="O64" s="14"/>
      <c r="P64" s="14">
        <v>50400</v>
      </c>
    </row>
    <row r="65" spans="1:79" ht="24" x14ac:dyDescent="0.25">
      <c r="A65" s="16">
        <v>301</v>
      </c>
      <c r="B65" s="12" t="s">
        <v>307</v>
      </c>
      <c r="C65" s="13" t="s">
        <v>308</v>
      </c>
      <c r="D65" s="17" t="s">
        <v>393</v>
      </c>
      <c r="E65" s="13" t="s">
        <v>293</v>
      </c>
      <c r="F65" s="12" t="s">
        <v>83</v>
      </c>
      <c r="G65" s="12">
        <v>8700</v>
      </c>
      <c r="H65" s="47" t="s">
        <v>0</v>
      </c>
      <c r="I65" s="13"/>
      <c r="J65" s="63"/>
      <c r="K65" s="22" t="str">
        <f>IF(OR(I65="",J65=""),"Monthly",IF(J65&lt;I65,0,(YEAR(J65)-YEAR(I65))*12+(MONTH(J65)-MONTH(I65))+1-IF(DAY(J65)&lt;DAY(I65),1,0)))</f>
        <v>Monthly</v>
      </c>
      <c r="L65" s="15">
        <v>190000</v>
      </c>
      <c r="M65" s="15">
        <v>180254.04</v>
      </c>
      <c r="N65" s="15"/>
      <c r="O65" s="15"/>
      <c r="P65" s="14">
        <v>190000</v>
      </c>
    </row>
    <row r="66" spans="1:79" ht="24" x14ac:dyDescent="0.25">
      <c r="A66" s="16">
        <v>77</v>
      </c>
      <c r="B66" s="12" t="s">
        <v>113</v>
      </c>
      <c r="C66" s="13" t="s">
        <v>115</v>
      </c>
      <c r="D66" s="17" t="s">
        <v>421</v>
      </c>
      <c r="E66" s="13" t="s">
        <v>291</v>
      </c>
      <c r="F66" s="12" t="s">
        <v>114</v>
      </c>
      <c r="G66" s="12">
        <v>8200</v>
      </c>
      <c r="H66" s="47" t="s">
        <v>78</v>
      </c>
      <c r="I66" s="48">
        <v>45916</v>
      </c>
      <c r="J66" s="49">
        <v>46277</v>
      </c>
      <c r="K66" s="16">
        <f>IF(OR(I66="",J66=""),"",IF(J66&lt;I66,0,(YEAR(J66)-YEAR(I66))*12+(MONTH(J66)-MONTH(I66))+1-IF(DAY(J66)&lt;DAY(I66),1,0)))</f>
        <v>12</v>
      </c>
      <c r="L66" s="14">
        <v>20260.65496332194</v>
      </c>
      <c r="M66" s="14">
        <v>-1832.9000617475176</v>
      </c>
      <c r="N66" s="14"/>
      <c r="O66" s="14"/>
      <c r="P66" s="14">
        <v>20260.65496332194</v>
      </c>
    </row>
    <row r="67" spans="1:79" ht="36" x14ac:dyDescent="0.25">
      <c r="A67" s="16">
        <v>79</v>
      </c>
      <c r="B67" s="12" t="s">
        <v>113</v>
      </c>
      <c r="C67" s="13" t="s">
        <v>222</v>
      </c>
      <c r="D67" s="17" t="s">
        <v>421</v>
      </c>
      <c r="E67" s="13" t="s">
        <v>291</v>
      </c>
      <c r="F67" s="12" t="s">
        <v>114</v>
      </c>
      <c r="G67" s="12">
        <v>8200</v>
      </c>
      <c r="H67" s="47" t="s">
        <v>78</v>
      </c>
      <c r="I67" s="48">
        <v>45912</v>
      </c>
      <c r="J67" s="49">
        <v>47006</v>
      </c>
      <c r="K67" s="16">
        <f>IF(OR(I67="",J67=""),"",IF(J67&lt;I67,0,(YEAR(J67)-YEAR(I67))*12+(MONTH(J67)-MONTH(I67))+1-IF(DAY(J67)&lt;DAY(I67),1,0)))</f>
        <v>36</v>
      </c>
      <c r="L67" s="14">
        <v>108490.65999999997</v>
      </c>
      <c r="M67" s="14">
        <v>36064.548438356156</v>
      </c>
      <c r="N67" s="14"/>
      <c r="O67" s="14"/>
      <c r="P67" s="14">
        <v>108490.65999999997</v>
      </c>
    </row>
    <row r="68" spans="1:79" ht="36" x14ac:dyDescent="0.25">
      <c r="A68" s="16">
        <v>76</v>
      </c>
      <c r="B68" s="12" t="s">
        <v>113</v>
      </c>
      <c r="C68" s="13" t="s">
        <v>440</v>
      </c>
      <c r="D68" s="17" t="s">
        <v>419</v>
      </c>
      <c r="E68" s="13" t="s">
        <v>291</v>
      </c>
      <c r="F68" s="12" t="s">
        <v>114</v>
      </c>
      <c r="G68" s="12">
        <v>8200</v>
      </c>
      <c r="H68" s="47" t="s">
        <v>78</v>
      </c>
      <c r="I68" s="48">
        <v>45758</v>
      </c>
      <c r="J68" s="57">
        <v>46122</v>
      </c>
      <c r="K68" s="16">
        <f>IF(OR(I68="",J68=""),"",IF(J68&lt;I68,0,(YEAR(J68)-YEAR(I68))*12+(MONTH(J68)-MONTH(I68))+1-IF(DAY(J68)&lt;DAY(I68),1,0)))</f>
        <v>12</v>
      </c>
      <c r="L68" s="14">
        <v>5359.7357876712331</v>
      </c>
      <c r="M68" s="14">
        <v>255.22551369863049</v>
      </c>
      <c r="N68" s="14"/>
      <c r="O68" s="14"/>
      <c r="P68" s="14">
        <v>5359.7357876712331</v>
      </c>
    </row>
    <row r="69" spans="1:79" ht="36" x14ac:dyDescent="0.25">
      <c r="A69" s="16">
        <v>420</v>
      </c>
      <c r="B69" s="12" t="s">
        <v>113</v>
      </c>
      <c r="C69" s="13" t="s">
        <v>116</v>
      </c>
      <c r="D69" s="17" t="s">
        <v>393</v>
      </c>
      <c r="E69" s="13" t="s">
        <v>293</v>
      </c>
      <c r="F69" s="12" t="s">
        <v>83</v>
      </c>
      <c r="G69" s="12">
        <v>8200</v>
      </c>
      <c r="H69" s="16"/>
      <c r="I69" s="64">
        <v>45962</v>
      </c>
      <c r="J69" s="65">
        <v>46326</v>
      </c>
      <c r="K69" s="22">
        <f>IF(OR(I69="",J69=""),"Monthly",IF(J69&lt;I69,0,(YEAR(J69)-YEAR(I69))*12+(MONTH(J69)-MONTH(I69))+1-IF(DAY(J69)&lt;DAY(I69),1,0)))</f>
        <v>12</v>
      </c>
      <c r="L69" s="15">
        <v>20822.121917808217</v>
      </c>
      <c r="M69" s="15">
        <v>12681.216438356163</v>
      </c>
      <c r="N69" s="15"/>
      <c r="O69" s="15"/>
      <c r="P69" s="14">
        <v>20822.121917808217</v>
      </c>
    </row>
    <row r="70" spans="1:79" ht="24" x14ac:dyDescent="0.25">
      <c r="A70" s="16">
        <v>75</v>
      </c>
      <c r="B70" s="12" t="s">
        <v>113</v>
      </c>
      <c r="C70" s="13" t="s">
        <v>338</v>
      </c>
      <c r="D70" s="17" t="s">
        <v>441</v>
      </c>
      <c r="E70" s="13" t="s">
        <v>291</v>
      </c>
      <c r="F70" s="12" t="s">
        <v>114</v>
      </c>
      <c r="G70" s="12">
        <v>8200</v>
      </c>
      <c r="H70" s="47" t="s">
        <v>78</v>
      </c>
      <c r="I70" s="48">
        <v>45948</v>
      </c>
      <c r="J70" s="49">
        <v>46312</v>
      </c>
      <c r="K70" s="16">
        <f>IF(OR(I70="",J70=""),"",IF(J70&lt;I70,0,(YEAR(J70)-YEAR(I70))*12+(MONTH(J70)-MONTH(I70))+1-IF(DAY(J70)&lt;DAY(I70),1,0)))</f>
        <v>12</v>
      </c>
      <c r="L70" s="14">
        <v>9951.6940273972614</v>
      </c>
      <c r="M70" s="14">
        <v>-13014.819287671231</v>
      </c>
      <c r="N70" s="14"/>
      <c r="O70" s="14"/>
      <c r="P70" s="14">
        <v>9951.6940273972614</v>
      </c>
    </row>
    <row r="71" spans="1:79" ht="36" x14ac:dyDescent="0.25">
      <c r="A71" s="16">
        <v>80</v>
      </c>
      <c r="B71" s="17" t="s">
        <v>113</v>
      </c>
      <c r="C71" s="17" t="s">
        <v>223</v>
      </c>
      <c r="D71" s="17" t="s">
        <v>442</v>
      </c>
      <c r="E71" s="17" t="s">
        <v>291</v>
      </c>
      <c r="F71" s="18" t="s">
        <v>114</v>
      </c>
      <c r="G71" s="17">
        <v>8200</v>
      </c>
      <c r="H71" s="18" t="s">
        <v>78</v>
      </c>
      <c r="I71" s="72">
        <v>45948</v>
      </c>
      <c r="J71" s="73">
        <v>47043</v>
      </c>
      <c r="K71" s="74">
        <f>IF(OR(I71="",J71=""),"",IF(J71&lt;I71,0,(YEAR(J71)-YEAR(I71))*12+(MONTH(J71)-MONTH(I71))+1-IF(DAY(J71)&lt;DAY(I71),1,0)))</f>
        <v>36</v>
      </c>
      <c r="L71" s="15">
        <v>58733.994981751828</v>
      </c>
      <c r="M71" s="15">
        <v>58733.994981751828</v>
      </c>
      <c r="N71" s="15"/>
      <c r="O71" s="15"/>
      <c r="P71" s="14">
        <v>58733.994981751828</v>
      </c>
    </row>
    <row r="72" spans="1:79" ht="24" x14ac:dyDescent="0.25">
      <c r="A72" s="16">
        <v>423</v>
      </c>
      <c r="B72" s="12" t="s">
        <v>113</v>
      </c>
      <c r="C72" s="13" t="s">
        <v>299</v>
      </c>
      <c r="D72" s="17" t="s">
        <v>442</v>
      </c>
      <c r="E72" s="13" t="s">
        <v>291</v>
      </c>
      <c r="F72" s="12" t="s">
        <v>114</v>
      </c>
      <c r="G72" s="12">
        <v>8700</v>
      </c>
      <c r="H72" s="47" t="s">
        <v>0</v>
      </c>
      <c r="I72" s="13"/>
      <c r="J72" s="63"/>
      <c r="K72" s="22" t="str">
        <f>IF(OR(I72="",J72=""),"Monthly",IF(J72&lt;I72,0,(YEAR(J72)-YEAR(I72))*12+(MONTH(J72)-MONTH(I72))+1-IF(DAY(J72)&lt;DAY(I72),1,0)))</f>
        <v>Monthly</v>
      </c>
      <c r="L72" s="15">
        <v>152760</v>
      </c>
      <c r="M72" s="15">
        <v>4020</v>
      </c>
      <c r="N72" s="15"/>
      <c r="O72" s="15"/>
      <c r="P72" s="14">
        <v>152760</v>
      </c>
    </row>
    <row r="73" spans="1:79" ht="24" x14ac:dyDescent="0.25">
      <c r="A73" s="16">
        <v>78</v>
      </c>
      <c r="B73" s="12" t="s">
        <v>113</v>
      </c>
      <c r="C73" s="13" t="s">
        <v>117</v>
      </c>
      <c r="D73" s="17" t="s">
        <v>377</v>
      </c>
      <c r="E73" s="13" t="s">
        <v>276</v>
      </c>
      <c r="F73" s="12" t="s">
        <v>77</v>
      </c>
      <c r="G73" s="12">
        <v>8200</v>
      </c>
      <c r="H73" s="47" t="s">
        <v>78</v>
      </c>
      <c r="I73" s="48">
        <v>45942</v>
      </c>
      <c r="J73" s="49">
        <v>46306</v>
      </c>
      <c r="K73" s="16">
        <f>IF(OR(I73="",J73=""),"",IF(J73&lt;I73,0,(YEAR(J73)-YEAR(I73))*12+(MONTH(J73)-MONTH(I73))+1-IF(DAY(J73)&lt;DAY(I73),1,0)))</f>
        <v>12</v>
      </c>
      <c r="L73" s="14">
        <v>300.41638356164384</v>
      </c>
      <c r="M73" s="14">
        <v>240.69989041095891</v>
      </c>
      <c r="N73" s="14"/>
      <c r="O73" s="14"/>
      <c r="P73" s="14">
        <v>300.41638356164384</v>
      </c>
    </row>
    <row r="74" spans="1:79" s="33" customFormat="1" ht="36" x14ac:dyDescent="0.25">
      <c r="A74" s="16">
        <v>82</v>
      </c>
      <c r="B74" s="60" t="s">
        <v>118</v>
      </c>
      <c r="C74" s="13" t="s">
        <v>119</v>
      </c>
      <c r="D74" s="13" t="s">
        <v>391</v>
      </c>
      <c r="E74" s="13" t="s">
        <v>443</v>
      </c>
      <c r="F74" s="12" t="s">
        <v>77</v>
      </c>
      <c r="G74" s="12">
        <v>8200</v>
      </c>
      <c r="H74" s="47" t="s">
        <v>78</v>
      </c>
      <c r="I74" s="48">
        <v>45782</v>
      </c>
      <c r="J74" s="57">
        <v>46146</v>
      </c>
      <c r="K74" s="16">
        <f>IF(OR(I74="",J74=""),"",IF(J74&lt;I74,0,(YEAR(J74)-YEAR(I74))*12+(MONTH(J74)-MONTH(I74))+1-IF(DAY(J74)&lt;DAY(I74),1,0)))</f>
        <v>12</v>
      </c>
      <c r="L74" s="14">
        <v>13600</v>
      </c>
      <c r="M74" s="14">
        <v>2239.3866666666654</v>
      </c>
      <c r="N74" s="14"/>
      <c r="O74" s="14"/>
      <c r="P74" s="14">
        <v>13600</v>
      </c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</row>
    <row r="75" spans="1:79" s="33" customFormat="1" outlineLevel="1" x14ac:dyDescent="0.25">
      <c r="A75" s="16">
        <v>202</v>
      </c>
      <c r="B75" s="12" t="s">
        <v>224</v>
      </c>
      <c r="C75" s="13" t="s">
        <v>225</v>
      </c>
      <c r="D75" s="17" t="s">
        <v>444</v>
      </c>
      <c r="E75" s="17" t="s">
        <v>286</v>
      </c>
      <c r="F75" s="12" t="s">
        <v>77</v>
      </c>
      <c r="G75" s="12">
        <v>8200</v>
      </c>
      <c r="H75" s="47" t="s">
        <v>78</v>
      </c>
      <c r="I75" s="48">
        <v>45830</v>
      </c>
      <c r="J75" s="49">
        <v>46925</v>
      </c>
      <c r="K75" s="16">
        <f>IF(OR(I75="",J75=""),"",IF(J75&lt;I75,0,(YEAR(J75)-YEAR(I75))*12+(MONTH(J75)-MONTH(I75))+1-IF(DAY(J75)&lt;DAY(I75),1,0)))</f>
        <v>36</v>
      </c>
      <c r="L75" s="14">
        <v>143868.61313868614</v>
      </c>
      <c r="M75" s="14">
        <v>14955.181897810224</v>
      </c>
      <c r="N75" s="14"/>
      <c r="O75" s="14"/>
      <c r="P75" s="14">
        <v>143868.61313868614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</row>
    <row r="76" spans="1:79" s="33" customFormat="1" ht="24" outlineLevel="1" x14ac:dyDescent="0.25">
      <c r="A76" s="16">
        <v>203</v>
      </c>
      <c r="B76" s="61" t="s">
        <v>120</v>
      </c>
      <c r="C76" s="13" t="s">
        <v>121</v>
      </c>
      <c r="D76" s="13" t="s">
        <v>377</v>
      </c>
      <c r="E76" s="13" t="s">
        <v>445</v>
      </c>
      <c r="F76" s="12" t="s">
        <v>89</v>
      </c>
      <c r="G76" s="12">
        <v>8200</v>
      </c>
      <c r="H76" s="16" t="s">
        <v>78</v>
      </c>
      <c r="I76" s="48">
        <v>45719</v>
      </c>
      <c r="J76" s="57">
        <v>46083</v>
      </c>
      <c r="K76" s="16">
        <f>IF(OR(I76="",J76=""),"",IF(J76&lt;I76,0,(YEAR(J76)-YEAR(I76))*12+(MONTH(J76)-MONTH(I76))+1-IF(DAY(J76)&lt;DAY(I76),1,0)))</f>
        <v>12</v>
      </c>
      <c r="L76" s="14">
        <v>33330.361643835618</v>
      </c>
      <c r="M76" s="14">
        <v>15590.526027397264</v>
      </c>
      <c r="N76" s="14"/>
      <c r="O76" s="14"/>
      <c r="P76" s="14">
        <v>33330.361643835618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</row>
    <row r="77" spans="1:79" s="33" customFormat="1" ht="24" outlineLevel="1" x14ac:dyDescent="0.25">
      <c r="A77" s="16">
        <v>308</v>
      </c>
      <c r="B77" s="12" t="s">
        <v>300</v>
      </c>
      <c r="C77" s="13"/>
      <c r="D77" s="17" t="s">
        <v>376</v>
      </c>
      <c r="E77" s="17"/>
      <c r="F77" s="12" t="s">
        <v>251</v>
      </c>
      <c r="G77" s="12">
        <v>8700</v>
      </c>
      <c r="H77" s="47" t="s">
        <v>0</v>
      </c>
      <c r="I77" s="13"/>
      <c r="J77" s="63"/>
      <c r="K77" s="22" t="str">
        <f>IF(OR(I77="",J77=""),"Monthly",IF(J77&lt;I77,0,(YEAR(J77)-YEAR(I77))*12+(MONTH(J77)-MONTH(I77))+1-IF(DAY(J77)&lt;DAY(I77),1,0)))</f>
        <v>Monthly</v>
      </c>
      <c r="L77" s="15">
        <v>37242.512999999999</v>
      </c>
      <c r="M77" s="15">
        <v>37242.512999999999</v>
      </c>
      <c r="N77" s="15"/>
      <c r="O77" s="15"/>
      <c r="P77" s="14">
        <v>37242.512999999999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</row>
    <row r="78" spans="1:79" s="33" customFormat="1" ht="36" outlineLevel="1" x14ac:dyDescent="0.25">
      <c r="A78" s="16">
        <v>84</v>
      </c>
      <c r="B78" s="12" t="s">
        <v>122</v>
      </c>
      <c r="C78" s="13" t="s">
        <v>123</v>
      </c>
      <c r="D78" s="17" t="s">
        <v>377</v>
      </c>
      <c r="E78" s="17" t="s">
        <v>446</v>
      </c>
      <c r="F78" s="12" t="s">
        <v>81</v>
      </c>
      <c r="G78" s="12">
        <v>8200</v>
      </c>
      <c r="H78" s="47" t="s">
        <v>78</v>
      </c>
      <c r="I78" s="48">
        <v>45965</v>
      </c>
      <c r="J78" s="57">
        <v>46203</v>
      </c>
      <c r="K78" s="16">
        <f>IF(OR(I78="",J78=""),"",IF(J78&lt;I78,0,(YEAR(J78)-YEAR(I78))*12+(MONTH(J78)-MONTH(I78))+1-IF(DAY(J78)&lt;DAY(I78),1,0)))</f>
        <v>8</v>
      </c>
      <c r="L78" s="14">
        <v>13440</v>
      </c>
      <c r="M78" s="14">
        <v>3136.3606276150622</v>
      </c>
      <c r="N78" s="14"/>
      <c r="O78" s="21">
        <v>-13440</v>
      </c>
      <c r="P78" s="14">
        <v>0</v>
      </c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</row>
    <row r="79" spans="1:79" s="33" customFormat="1" outlineLevel="1" x14ac:dyDescent="0.25">
      <c r="A79" s="16">
        <v>85</v>
      </c>
      <c r="B79" s="12" t="s">
        <v>264</v>
      </c>
      <c r="C79" s="13" t="s">
        <v>265</v>
      </c>
      <c r="D79" s="17" t="s">
        <v>447</v>
      </c>
      <c r="E79" s="17" t="s">
        <v>412</v>
      </c>
      <c r="F79" s="12" t="s">
        <v>81</v>
      </c>
      <c r="G79" s="12">
        <v>8200</v>
      </c>
      <c r="H79" s="47" t="s">
        <v>78</v>
      </c>
      <c r="I79" s="48">
        <v>45839</v>
      </c>
      <c r="J79" s="57">
        <v>46203</v>
      </c>
      <c r="K79" s="16">
        <f>IF(OR(I79="",J79=""),"",IF(J79&lt;I79,0,(YEAR(J79)-YEAR(I79))*12+(MONTH(J79)-MONTH(I79))+1-IF(DAY(J79)&lt;DAY(I79),1,0)))</f>
        <v>12</v>
      </c>
      <c r="L79" s="14">
        <v>4000</v>
      </c>
      <c r="M79" s="14">
        <v>3104.8876712328765</v>
      </c>
      <c r="N79" s="14"/>
      <c r="O79" s="14"/>
      <c r="P79" s="14">
        <v>4000</v>
      </c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</row>
    <row r="80" spans="1:79" s="33" customFormat="1" ht="24" outlineLevel="1" x14ac:dyDescent="0.25">
      <c r="A80" s="16">
        <v>259</v>
      </c>
      <c r="B80" s="12" t="s">
        <v>352</v>
      </c>
      <c r="C80" s="12"/>
      <c r="D80" s="12"/>
      <c r="E80" s="12"/>
      <c r="F80" s="12" t="s">
        <v>83</v>
      </c>
      <c r="G80" s="12">
        <v>8800</v>
      </c>
      <c r="H80" s="47" t="s">
        <v>319</v>
      </c>
      <c r="I80" s="12"/>
      <c r="J80" s="66"/>
      <c r="K80" s="16" t="str">
        <f>IF(OR(I80="",J80=""),"Monthly",IF(J80&lt;I80,0,(YEAR(J80)-YEAR(I80))*12+(MONTH(J80)-MONTH(I80))+1-IF(DAY(J80)&lt;DAY(I80),1,0)))</f>
        <v>Monthly</v>
      </c>
      <c r="L80" s="15">
        <v>1800</v>
      </c>
      <c r="M80" s="15">
        <v>799.81999999999971</v>
      </c>
      <c r="N80" s="15"/>
      <c r="O80" s="15"/>
      <c r="P80" s="14">
        <v>1800</v>
      </c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</row>
    <row r="81" spans="1:79" s="33" customFormat="1" ht="24" outlineLevel="1" x14ac:dyDescent="0.25">
      <c r="A81" s="16">
        <v>260</v>
      </c>
      <c r="B81" s="12" t="s">
        <v>352</v>
      </c>
      <c r="C81" s="12"/>
      <c r="D81" s="12"/>
      <c r="E81" s="12"/>
      <c r="F81" s="12" t="s">
        <v>114</v>
      </c>
      <c r="G81" s="12">
        <v>8800</v>
      </c>
      <c r="H81" s="47" t="s">
        <v>319</v>
      </c>
      <c r="I81" s="12"/>
      <c r="J81" s="66"/>
      <c r="K81" s="16" t="str">
        <f>IF(OR(I81="",J81=""),"Monthly",IF(J81&lt;I81,0,(YEAR(J81)-YEAR(I81))*12+(MONTH(J81)-MONTH(I81))+1-IF(DAY(J81)&lt;DAY(I81),1,0)))</f>
        <v>Monthly</v>
      </c>
      <c r="L81" s="15">
        <v>3600</v>
      </c>
      <c r="M81" s="15">
        <v>2507.2600000000002</v>
      </c>
      <c r="N81" s="15"/>
      <c r="O81" s="15"/>
      <c r="P81" s="14">
        <v>3600</v>
      </c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</row>
    <row r="82" spans="1:79" s="33" customFormat="1" ht="60" outlineLevel="1" x14ac:dyDescent="0.25">
      <c r="A82" s="22" t="s">
        <v>381</v>
      </c>
      <c r="B82" s="17" t="s">
        <v>287</v>
      </c>
      <c r="C82" s="17" t="s">
        <v>448</v>
      </c>
      <c r="D82" s="17" t="s">
        <v>376</v>
      </c>
      <c r="E82" s="17" t="s">
        <v>276</v>
      </c>
      <c r="F82" s="17" t="s">
        <v>81</v>
      </c>
      <c r="G82" s="17">
        <v>8200</v>
      </c>
      <c r="H82" s="18"/>
      <c r="I82" s="17"/>
      <c r="J82" s="19"/>
      <c r="K82" s="18" t="str">
        <f>IF(OR(I82="",J82=""),"Monthly",IF(J82&lt;I82,0,(YEAR(J82)-YEAR(I82))*12+(MONTH(J82)-MONTH(I82))+1-IF(DAY(J82)&lt;DAY(I82),1,0)))</f>
        <v>Monthly</v>
      </c>
      <c r="L82" s="15">
        <v>7830</v>
      </c>
      <c r="M82" s="15">
        <v>7830</v>
      </c>
      <c r="N82" s="15"/>
      <c r="O82" s="15"/>
      <c r="P82" s="14">
        <v>7830</v>
      </c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</row>
    <row r="83" spans="1:79" s="33" customFormat="1" outlineLevel="1" x14ac:dyDescent="0.25">
      <c r="A83" s="16">
        <v>88</v>
      </c>
      <c r="B83" s="12" t="s">
        <v>226</v>
      </c>
      <c r="C83" s="13" t="s">
        <v>227</v>
      </c>
      <c r="D83" s="17" t="s">
        <v>389</v>
      </c>
      <c r="E83" s="17" t="s">
        <v>449</v>
      </c>
      <c r="F83" s="12" t="s">
        <v>97</v>
      </c>
      <c r="G83" s="12">
        <v>8200</v>
      </c>
      <c r="H83" s="47" t="s">
        <v>78</v>
      </c>
      <c r="I83" s="48">
        <v>45730</v>
      </c>
      <c r="J83" s="49">
        <v>46825</v>
      </c>
      <c r="K83" s="16">
        <f t="shared" ref="K83:K89" si="3">IF(OR(I83="",J83=""),"",IF(J83&lt;I83,0,(YEAR(J83)-YEAR(I83))*12+(MONTH(J83)-MONTH(I83))+1-IF(DAY(J83)&lt;DAY(I83),1,0)))</f>
        <v>36</v>
      </c>
      <c r="L83" s="14">
        <v>72390.150640017964</v>
      </c>
      <c r="M83" s="14">
        <v>22572.360366045366</v>
      </c>
      <c r="N83" s="14"/>
      <c r="O83" s="14"/>
      <c r="P83" s="14">
        <v>72390.150640017964</v>
      </c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</row>
    <row r="84" spans="1:79" s="33" customFormat="1" ht="24" outlineLevel="1" x14ac:dyDescent="0.25">
      <c r="A84" s="16">
        <v>89</v>
      </c>
      <c r="B84" s="12" t="s">
        <v>124</v>
      </c>
      <c r="C84" s="13" t="s">
        <v>125</v>
      </c>
      <c r="D84" s="13" t="s">
        <v>450</v>
      </c>
      <c r="E84" s="13" t="s">
        <v>451</v>
      </c>
      <c r="F84" s="12" t="s">
        <v>81</v>
      </c>
      <c r="G84" s="12">
        <v>8200</v>
      </c>
      <c r="H84" s="47" t="s">
        <v>78</v>
      </c>
      <c r="I84" s="48">
        <v>45909</v>
      </c>
      <c r="J84" s="49">
        <v>46273</v>
      </c>
      <c r="K84" s="16">
        <f t="shared" si="3"/>
        <v>12</v>
      </c>
      <c r="L84" s="14">
        <v>6959.3424657534251</v>
      </c>
      <c r="M84" s="14">
        <v>-29105.797260273968</v>
      </c>
      <c r="N84" s="14"/>
      <c r="O84" s="15"/>
      <c r="P84" s="14">
        <v>6959.3424657534251</v>
      </c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</row>
    <row r="85" spans="1:79" s="33" customFormat="1" outlineLevel="1" x14ac:dyDescent="0.25">
      <c r="A85" s="16">
        <v>90</v>
      </c>
      <c r="B85" s="12" t="s">
        <v>43</v>
      </c>
      <c r="C85" s="13" t="s">
        <v>126</v>
      </c>
      <c r="D85" s="17" t="s">
        <v>393</v>
      </c>
      <c r="E85" s="13" t="s">
        <v>293</v>
      </c>
      <c r="F85" s="12" t="s">
        <v>83</v>
      </c>
      <c r="G85" s="12">
        <v>8200</v>
      </c>
      <c r="H85" s="47" t="s">
        <v>78</v>
      </c>
      <c r="I85" s="48">
        <v>45717</v>
      </c>
      <c r="J85" s="57">
        <v>46081</v>
      </c>
      <c r="K85" s="16">
        <f t="shared" si="3"/>
        <v>12</v>
      </c>
      <c r="L85" s="14">
        <v>52500</v>
      </c>
      <c r="M85" s="14">
        <v>10602.650000000001</v>
      </c>
      <c r="N85" s="21">
        <v>-52500</v>
      </c>
      <c r="O85" s="15"/>
      <c r="P85" s="14">
        <v>0</v>
      </c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</row>
    <row r="86" spans="1:79" s="33" customFormat="1" ht="24" outlineLevel="1" x14ac:dyDescent="0.25">
      <c r="A86" s="16">
        <v>92</v>
      </c>
      <c r="B86" s="12" t="s">
        <v>127</v>
      </c>
      <c r="C86" s="13" t="s">
        <v>128</v>
      </c>
      <c r="D86" s="17" t="s">
        <v>391</v>
      </c>
      <c r="E86" s="17" t="s">
        <v>412</v>
      </c>
      <c r="F86" s="12" t="s">
        <v>77</v>
      </c>
      <c r="G86" s="12">
        <v>8200</v>
      </c>
      <c r="H86" s="47" t="s">
        <v>78</v>
      </c>
      <c r="I86" s="48">
        <v>46007</v>
      </c>
      <c r="J86" s="49">
        <v>46371</v>
      </c>
      <c r="K86" s="16">
        <f t="shared" si="3"/>
        <v>12</v>
      </c>
      <c r="L86" s="14">
        <v>7767.4520547945212</v>
      </c>
      <c r="M86" s="14">
        <v>6483.9452054794529</v>
      </c>
      <c r="N86" s="14"/>
      <c r="O86" s="15"/>
      <c r="P86" s="14">
        <v>7767.4520547945212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</row>
    <row r="87" spans="1:79" s="33" customFormat="1" ht="24" outlineLevel="1" x14ac:dyDescent="0.25">
      <c r="A87" s="16">
        <v>93</v>
      </c>
      <c r="B87" s="12" t="s">
        <v>129</v>
      </c>
      <c r="C87" s="13" t="s">
        <v>452</v>
      </c>
      <c r="D87" s="17" t="s">
        <v>391</v>
      </c>
      <c r="E87" s="17" t="s">
        <v>453</v>
      </c>
      <c r="F87" s="12" t="s">
        <v>81</v>
      </c>
      <c r="G87" s="12">
        <v>8200</v>
      </c>
      <c r="H87" s="47" t="s">
        <v>78</v>
      </c>
      <c r="I87" s="48">
        <v>45811</v>
      </c>
      <c r="J87" s="49">
        <v>46540</v>
      </c>
      <c r="K87" s="16">
        <f t="shared" si="3"/>
        <v>24</v>
      </c>
      <c r="L87" s="14">
        <v>16929.198630136987</v>
      </c>
      <c r="M87" s="14">
        <v>269.02152378021128</v>
      </c>
      <c r="N87" s="21"/>
      <c r="O87" s="15"/>
      <c r="P87" s="14">
        <v>16929.198630136987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</row>
    <row r="88" spans="1:79" s="33" customFormat="1" ht="24" outlineLevel="1" x14ac:dyDescent="0.25">
      <c r="A88" s="16">
        <v>94</v>
      </c>
      <c r="B88" s="12" t="s">
        <v>130</v>
      </c>
      <c r="C88" s="13" t="s">
        <v>131</v>
      </c>
      <c r="D88" s="17" t="s">
        <v>393</v>
      </c>
      <c r="E88" s="13" t="s">
        <v>293</v>
      </c>
      <c r="F88" s="12" t="s">
        <v>83</v>
      </c>
      <c r="G88" s="12">
        <v>8200</v>
      </c>
      <c r="H88" s="47" t="s">
        <v>78</v>
      </c>
      <c r="I88" s="48">
        <v>45273</v>
      </c>
      <c r="J88" s="49">
        <v>46368</v>
      </c>
      <c r="K88" s="16">
        <f t="shared" si="3"/>
        <v>36</v>
      </c>
      <c r="L88" s="14">
        <v>72737.123631386858</v>
      </c>
      <c r="M88" s="14">
        <v>2169.2518795620417</v>
      </c>
      <c r="N88" s="14"/>
      <c r="O88" s="15"/>
      <c r="P88" s="14">
        <v>72737.123631386858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</row>
    <row r="89" spans="1:79" s="33" customFormat="1" outlineLevel="1" x14ac:dyDescent="0.25">
      <c r="A89" s="16">
        <v>96</v>
      </c>
      <c r="B89" s="12" t="s">
        <v>132</v>
      </c>
      <c r="C89" s="13" t="s">
        <v>133</v>
      </c>
      <c r="D89" s="17" t="s">
        <v>377</v>
      </c>
      <c r="E89" s="17" t="s">
        <v>428</v>
      </c>
      <c r="F89" s="12" t="s">
        <v>89</v>
      </c>
      <c r="G89" s="12">
        <v>8200</v>
      </c>
      <c r="H89" s="47" t="s">
        <v>78</v>
      </c>
      <c r="I89" s="48">
        <v>45876</v>
      </c>
      <c r="J89" s="49">
        <v>46240</v>
      </c>
      <c r="K89" s="16">
        <f t="shared" si="3"/>
        <v>12</v>
      </c>
      <c r="L89" s="14">
        <v>10897.615726027398</v>
      </c>
      <c r="M89" s="14">
        <v>2596.166739726028</v>
      </c>
      <c r="N89" s="14"/>
      <c r="O89" s="15"/>
      <c r="P89" s="14">
        <v>10897.615726027398</v>
      </c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</row>
    <row r="90" spans="1:79" s="33" customFormat="1" ht="24" outlineLevel="1" x14ac:dyDescent="0.25">
      <c r="A90" s="16" t="s">
        <v>381</v>
      </c>
      <c r="B90" s="17" t="s">
        <v>309</v>
      </c>
      <c r="C90" s="17" t="s">
        <v>310</v>
      </c>
      <c r="D90" s="17" t="s">
        <v>389</v>
      </c>
      <c r="E90" s="17" t="s">
        <v>295</v>
      </c>
      <c r="F90" s="18" t="s">
        <v>97</v>
      </c>
      <c r="G90" s="17">
        <v>8700</v>
      </c>
      <c r="H90" s="18"/>
      <c r="I90" s="17"/>
      <c r="J90" s="19"/>
      <c r="K90" s="18" t="str">
        <f>IF(OR(I90="",J90=""),"Monthly",IF(J90&lt;I90,0,(YEAR(J90)-YEAR(I90))*12+(MONTH(J90)-MONTH(I90))+1-IF(DAY(J90)&lt;DAY(I90),1,0)))</f>
        <v>Monthly</v>
      </c>
      <c r="L90" s="77">
        <v>64000</v>
      </c>
      <c r="M90" s="24">
        <v>64000</v>
      </c>
      <c r="N90" s="24"/>
      <c r="O90" s="24"/>
      <c r="P90" s="14">
        <v>64000</v>
      </c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</row>
    <row r="91" spans="1:79" s="33" customFormat="1" ht="24" outlineLevel="1" x14ac:dyDescent="0.25">
      <c r="A91" s="16" t="s">
        <v>381</v>
      </c>
      <c r="B91" s="17" t="s">
        <v>309</v>
      </c>
      <c r="C91" s="17" t="s">
        <v>310</v>
      </c>
      <c r="D91" s="17" t="s">
        <v>393</v>
      </c>
      <c r="E91" s="17" t="s">
        <v>293</v>
      </c>
      <c r="F91" s="18" t="s">
        <v>83</v>
      </c>
      <c r="G91" s="17">
        <v>8700</v>
      </c>
      <c r="H91" s="18"/>
      <c r="I91" s="17"/>
      <c r="J91" s="19"/>
      <c r="K91" s="18" t="str">
        <f>IF(OR(I91="",J91=""),"Monthly",IF(J91&lt;I91,0,(YEAR(J91)-YEAR(I91))*12+(MONTH(J91)-MONTH(I91))+1-IF(DAY(J91)&lt;DAY(I91),1,0)))</f>
        <v>Monthly</v>
      </c>
      <c r="L91" s="24">
        <v>84000</v>
      </c>
      <c r="M91" s="24">
        <v>84000</v>
      </c>
      <c r="N91" s="24"/>
      <c r="O91" s="24"/>
      <c r="P91" s="14">
        <v>84000</v>
      </c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</row>
    <row r="92" spans="1:79" s="33" customFormat="1" ht="24" outlineLevel="1" x14ac:dyDescent="0.25">
      <c r="A92" s="16" t="s">
        <v>381</v>
      </c>
      <c r="B92" s="17" t="s">
        <v>309</v>
      </c>
      <c r="C92" s="17" t="s">
        <v>454</v>
      </c>
      <c r="D92" s="17" t="s">
        <v>393</v>
      </c>
      <c r="E92" s="17" t="s">
        <v>293</v>
      </c>
      <c r="F92" s="18" t="s">
        <v>83</v>
      </c>
      <c r="G92" s="17">
        <v>8700</v>
      </c>
      <c r="H92" s="18"/>
      <c r="I92" s="17"/>
      <c r="J92" s="19"/>
      <c r="K92" s="18" t="str">
        <f>IF(OR(I92="",J92=""),"Monthly",IF(J92&lt;I92,0,(YEAR(J92)-YEAR(I92))*12+(MONTH(J92)-MONTH(I92))+1-IF(DAY(J92)&lt;DAY(I92),1,0)))</f>
        <v>Monthly</v>
      </c>
      <c r="L92" s="15">
        <v>157500</v>
      </c>
      <c r="M92" s="15">
        <v>157500</v>
      </c>
      <c r="N92" s="15"/>
      <c r="O92" s="15"/>
      <c r="P92" s="14">
        <v>157500</v>
      </c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</row>
    <row r="93" spans="1:79" s="33" customFormat="1" ht="24" outlineLevel="1" x14ac:dyDescent="0.25">
      <c r="A93" s="16" t="s">
        <v>381</v>
      </c>
      <c r="B93" s="17" t="s">
        <v>309</v>
      </c>
      <c r="C93" s="17" t="s">
        <v>311</v>
      </c>
      <c r="D93" s="17" t="s">
        <v>393</v>
      </c>
      <c r="E93" s="17" t="s">
        <v>293</v>
      </c>
      <c r="F93" s="18" t="s">
        <v>83</v>
      </c>
      <c r="G93" s="17">
        <v>8700</v>
      </c>
      <c r="H93" s="18"/>
      <c r="I93" s="17"/>
      <c r="J93" s="19"/>
      <c r="K93" s="18" t="str">
        <f>IF(OR(I93="",J93=""),"Monthly",IF(J93&lt;I93,0,(YEAR(J93)-YEAR(I93))*12+(MONTH(J93)-MONTH(I93))+1-IF(DAY(J93)&lt;DAY(I93),1,0)))</f>
        <v>Monthly</v>
      </c>
      <c r="L93" s="15">
        <v>131250</v>
      </c>
      <c r="M93" s="15">
        <v>131250</v>
      </c>
      <c r="N93" s="15"/>
      <c r="O93" s="15"/>
      <c r="P93" s="14">
        <v>131250</v>
      </c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</row>
    <row r="94" spans="1:79" s="33" customFormat="1" ht="24" outlineLevel="1" x14ac:dyDescent="0.25">
      <c r="A94" s="16">
        <v>319</v>
      </c>
      <c r="B94" s="12" t="s">
        <v>301</v>
      </c>
      <c r="C94" s="13"/>
      <c r="D94" s="17" t="s">
        <v>376</v>
      </c>
      <c r="E94" s="17"/>
      <c r="F94" s="12" t="s">
        <v>251</v>
      </c>
      <c r="G94" s="12">
        <v>8700</v>
      </c>
      <c r="H94" s="47" t="s">
        <v>0</v>
      </c>
      <c r="I94" s="13"/>
      <c r="J94" s="63"/>
      <c r="K94" s="22" t="str">
        <f>IF(OR(I94="",J94=""),"Monthly",IF(J94&lt;I94,0,(YEAR(J94)-YEAR(I94))*12+(MONTH(J94)-MONTH(I94))+1-IF(DAY(J94)&lt;DAY(I94),1,0)))</f>
        <v>Monthly</v>
      </c>
      <c r="L94" s="15">
        <v>20731.599000000002</v>
      </c>
      <c r="M94" s="15">
        <v>20731.599000000002</v>
      </c>
      <c r="N94" s="15"/>
      <c r="O94" s="15"/>
      <c r="P94" s="14">
        <v>20731.599000000002</v>
      </c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</row>
    <row r="95" spans="1:79" s="33" customFormat="1" ht="48" outlineLevel="1" x14ac:dyDescent="0.25">
      <c r="A95" s="16">
        <v>98</v>
      </c>
      <c r="B95" s="12" t="s">
        <v>455</v>
      </c>
      <c r="C95" s="13" t="s">
        <v>456</v>
      </c>
      <c r="D95" s="17" t="s">
        <v>391</v>
      </c>
      <c r="E95" s="13" t="s">
        <v>405</v>
      </c>
      <c r="F95" s="12" t="s">
        <v>77</v>
      </c>
      <c r="G95" s="12">
        <v>8200</v>
      </c>
      <c r="H95" s="47" t="s">
        <v>78</v>
      </c>
      <c r="I95" s="48">
        <v>45767</v>
      </c>
      <c r="J95" s="57">
        <v>46131</v>
      </c>
      <c r="K95" s="16">
        <f>IF(OR(I95="",J95=""),"",IF(J95&lt;I95,0,(YEAR(J95)-YEAR(I95))*12+(MONTH(J95)-MONTH(I95))+1-IF(DAY(J95)&lt;DAY(I95),1,0)))</f>
        <v>12</v>
      </c>
      <c r="L95" s="14">
        <v>365019.99999999994</v>
      </c>
      <c r="M95" s="14">
        <v>53883.1616438356</v>
      </c>
      <c r="N95" s="14"/>
      <c r="O95" s="15"/>
      <c r="P95" s="14">
        <v>365019.99999999994</v>
      </c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</row>
    <row r="96" spans="1:79" s="33" customFormat="1" ht="24" outlineLevel="1" x14ac:dyDescent="0.25">
      <c r="A96" s="16">
        <v>14</v>
      </c>
      <c r="B96" s="61" t="s">
        <v>191</v>
      </c>
      <c r="C96" s="13" t="s">
        <v>457</v>
      </c>
      <c r="D96" s="17" t="s">
        <v>404</v>
      </c>
      <c r="E96" s="13" t="s">
        <v>405</v>
      </c>
      <c r="F96" s="12" t="s">
        <v>92</v>
      </c>
      <c r="G96" s="12">
        <v>8200</v>
      </c>
      <c r="H96" s="47" t="s">
        <v>0</v>
      </c>
      <c r="I96" s="48"/>
      <c r="J96" s="49"/>
      <c r="K96" s="16" t="str">
        <f>IF(OR(I96="",J96=""),"",IF(J96&lt;I96,0,(YEAR(J96)-YEAR(I96))*12+(MONTH(J96)-MONTH(I96))+1-IF(DAY(J96)&lt;DAY(I96),1,0)))</f>
        <v/>
      </c>
      <c r="L96" s="14">
        <v>24000</v>
      </c>
      <c r="M96" s="14">
        <v>3300.1999999999971</v>
      </c>
      <c r="N96" s="14"/>
      <c r="O96" s="14"/>
      <c r="P96" s="14">
        <v>24000</v>
      </c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</row>
    <row r="97" spans="1:79" s="33" customFormat="1" ht="24" outlineLevel="1" x14ac:dyDescent="0.25">
      <c r="A97" s="16">
        <v>14</v>
      </c>
      <c r="B97" s="12" t="s">
        <v>191</v>
      </c>
      <c r="C97" s="13" t="s">
        <v>207</v>
      </c>
      <c r="D97" s="17" t="s">
        <v>376</v>
      </c>
      <c r="E97" s="13" t="s">
        <v>458</v>
      </c>
      <c r="F97" s="12" t="s">
        <v>81</v>
      </c>
      <c r="G97" s="12">
        <v>8200</v>
      </c>
      <c r="H97" s="47" t="s">
        <v>319</v>
      </c>
      <c r="I97" s="13"/>
      <c r="J97" s="63"/>
      <c r="K97" s="22" t="str">
        <f>IF(OR(I97="",J97=""),"Monthly",IF(J97&lt;I97,0,(YEAR(J97)-YEAR(I97))*12+(MONTH(J97)-MONTH(I97))+1-IF(DAY(J97)&lt;DAY(I97),1,0)))</f>
        <v>Monthly</v>
      </c>
      <c r="L97" s="15">
        <v>2000</v>
      </c>
      <c r="M97" s="15">
        <v>2000</v>
      </c>
      <c r="N97" s="15"/>
      <c r="O97" s="15"/>
      <c r="P97" s="14">
        <v>2000</v>
      </c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</row>
    <row r="98" spans="1:79" s="33" customFormat="1" outlineLevel="1" x14ac:dyDescent="0.25">
      <c r="A98" s="16" t="s">
        <v>381</v>
      </c>
      <c r="B98" s="17" t="s">
        <v>277</v>
      </c>
      <c r="C98" s="17" t="s">
        <v>459</v>
      </c>
      <c r="D98" s="17" t="s">
        <v>376</v>
      </c>
      <c r="E98" s="17" t="s">
        <v>278</v>
      </c>
      <c r="F98" s="18" t="s">
        <v>81</v>
      </c>
      <c r="G98" s="17">
        <v>8200</v>
      </c>
      <c r="H98" s="18"/>
      <c r="I98" s="17"/>
      <c r="J98" s="19"/>
      <c r="K98" s="18"/>
      <c r="L98" s="15">
        <v>875</v>
      </c>
      <c r="M98" s="15">
        <v>875</v>
      </c>
      <c r="N98" s="15"/>
      <c r="O98" s="15"/>
      <c r="P98" s="14">
        <v>875</v>
      </c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</row>
    <row r="99" spans="1:79" s="33" customFormat="1" ht="24" outlineLevel="1" x14ac:dyDescent="0.25">
      <c r="A99" s="16">
        <v>99</v>
      </c>
      <c r="B99" s="12" t="s">
        <v>200</v>
      </c>
      <c r="C99" s="13" t="s">
        <v>460</v>
      </c>
      <c r="D99" s="17" t="s">
        <v>377</v>
      </c>
      <c r="E99" s="17" t="s">
        <v>461</v>
      </c>
      <c r="F99" s="12" t="s">
        <v>89</v>
      </c>
      <c r="G99" s="12">
        <v>8200</v>
      </c>
      <c r="H99" s="47" t="s">
        <v>78</v>
      </c>
      <c r="I99" s="48">
        <v>45839</v>
      </c>
      <c r="J99" s="57">
        <v>46203</v>
      </c>
      <c r="K99" s="16">
        <f>IF(OR(I99="",J99=""),"",IF(J99&lt;I99,0,(YEAR(J99)-YEAR(I99))*12+(MONTH(J99)-MONTH(I99))+1-IF(DAY(J99)&lt;DAY(I99),1,0)))</f>
        <v>12</v>
      </c>
      <c r="L99" s="14">
        <v>3024</v>
      </c>
      <c r="M99" s="14">
        <v>1324.7398630136986</v>
      </c>
      <c r="N99" s="14"/>
      <c r="O99" s="14"/>
      <c r="P99" s="14">
        <v>3024</v>
      </c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</row>
    <row r="100" spans="1:79" s="33" customFormat="1" ht="60" outlineLevel="1" x14ac:dyDescent="0.25">
      <c r="A100" s="16" t="s">
        <v>381</v>
      </c>
      <c r="B100" s="17" t="s">
        <v>210</v>
      </c>
      <c r="C100" s="17" t="s">
        <v>462</v>
      </c>
      <c r="D100" s="17" t="s">
        <v>376</v>
      </c>
      <c r="E100" s="17" t="s">
        <v>463</v>
      </c>
      <c r="F100" s="18" t="s">
        <v>81</v>
      </c>
      <c r="G100" s="17">
        <v>8200</v>
      </c>
      <c r="H100" s="18"/>
      <c r="I100" s="17"/>
      <c r="J100" s="19"/>
      <c r="K100" s="18" t="str">
        <f>IF(OR(I100="",J100=""),"Monthly",IF(J100&lt;I100,0,(YEAR(J100)-YEAR(I100))*12+(MONTH(J100)-MONTH(I100))+1-IF(DAY(J100)&lt;DAY(I100),1,0)))</f>
        <v>Monthly</v>
      </c>
      <c r="L100" s="15">
        <v>13999.999999999998</v>
      </c>
      <c r="M100" s="15">
        <v>13999.999999999998</v>
      </c>
      <c r="N100" s="15"/>
      <c r="O100" s="15"/>
      <c r="P100" s="14">
        <v>13999.999999999998</v>
      </c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</row>
    <row r="101" spans="1:79" s="33" customFormat="1" ht="24" outlineLevel="1" x14ac:dyDescent="0.25">
      <c r="A101" s="16">
        <v>100</v>
      </c>
      <c r="B101" s="12" t="s">
        <v>45</v>
      </c>
      <c r="C101" s="13" t="s">
        <v>464</v>
      </c>
      <c r="D101" s="13" t="s">
        <v>391</v>
      </c>
      <c r="E101" s="13" t="s">
        <v>439</v>
      </c>
      <c r="F101" s="12" t="s">
        <v>81</v>
      </c>
      <c r="G101" s="12">
        <v>8200</v>
      </c>
      <c r="H101" s="47" t="s">
        <v>78</v>
      </c>
      <c r="I101" s="48">
        <v>45789</v>
      </c>
      <c r="J101" s="57">
        <v>46153</v>
      </c>
      <c r="K101" s="16">
        <f>IF(OR(I101="",J101=""),"",IF(J101&lt;I101,0,(YEAR(J101)-YEAR(I101))*12+(MONTH(J101)-MONTH(I101))+1-IF(DAY(J101)&lt;DAY(I101),1,0)))</f>
        <v>12</v>
      </c>
      <c r="L101" s="14">
        <v>588</v>
      </c>
      <c r="M101" s="14">
        <v>-12</v>
      </c>
      <c r="N101" s="14"/>
      <c r="O101" s="14"/>
      <c r="P101" s="14">
        <v>588</v>
      </c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</row>
    <row r="102" spans="1:79" s="33" customFormat="1" outlineLevel="1" x14ac:dyDescent="0.25">
      <c r="A102" s="16">
        <v>17</v>
      </c>
      <c r="B102" s="12" t="s">
        <v>134</v>
      </c>
      <c r="C102" s="13" t="s">
        <v>135</v>
      </c>
      <c r="D102" s="17" t="s">
        <v>465</v>
      </c>
      <c r="E102" s="13" t="s">
        <v>291</v>
      </c>
      <c r="F102" s="12" t="s">
        <v>114</v>
      </c>
      <c r="G102" s="12">
        <v>8800</v>
      </c>
      <c r="H102" s="47" t="s">
        <v>0</v>
      </c>
      <c r="I102" s="48">
        <v>45628</v>
      </c>
      <c r="J102" s="49">
        <v>46357</v>
      </c>
      <c r="K102" s="16">
        <f>IF(OR(I102="",J102=""),"",IF(J102&lt;I102,0,(YEAR(J102)-YEAR(I102))*12+(MONTH(J102)-MONTH(I102))+1-IF(DAY(J102)&lt;DAY(I102),1,0)))</f>
        <v>24</v>
      </c>
      <c r="L102" s="14">
        <v>44854.091999999997</v>
      </c>
      <c r="M102" s="14">
        <v>5695.7577142857117</v>
      </c>
      <c r="N102" s="14"/>
      <c r="O102" s="14"/>
      <c r="P102" s="14">
        <v>44854.091999999997</v>
      </c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</row>
    <row r="103" spans="1:79" s="33" customFormat="1" ht="24" outlineLevel="1" x14ac:dyDescent="0.25">
      <c r="A103" s="16">
        <v>331</v>
      </c>
      <c r="B103" s="12" t="s">
        <v>302</v>
      </c>
      <c r="C103" s="13" t="s">
        <v>466</v>
      </c>
      <c r="D103" s="17" t="s">
        <v>442</v>
      </c>
      <c r="E103" s="17" t="s">
        <v>291</v>
      </c>
      <c r="F103" s="12" t="s">
        <v>114</v>
      </c>
      <c r="G103" s="12">
        <v>8700</v>
      </c>
      <c r="H103" s="47" t="s">
        <v>0</v>
      </c>
      <c r="I103" s="13"/>
      <c r="J103" s="63"/>
      <c r="K103" s="22" t="str">
        <f>IF(OR(I103="",J103=""),"Monthly",IF(J103&lt;I103,0,(YEAR(J103)-YEAR(I103))*12+(MONTH(J103)-MONTH(I103))+1-IF(DAY(J103)&lt;DAY(I103),1,0)))</f>
        <v>Monthly</v>
      </c>
      <c r="L103" s="15">
        <v>51060</v>
      </c>
      <c r="M103" s="15">
        <v>6919</v>
      </c>
      <c r="N103" s="15"/>
      <c r="O103" s="15"/>
      <c r="P103" s="14">
        <v>51060</v>
      </c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</row>
    <row r="104" spans="1:79" s="33" customFormat="1" ht="36" outlineLevel="1" x14ac:dyDescent="0.25">
      <c r="A104" s="16">
        <v>440</v>
      </c>
      <c r="B104" s="12" t="s">
        <v>303</v>
      </c>
      <c r="C104" s="13" t="s">
        <v>304</v>
      </c>
      <c r="D104" s="17" t="s">
        <v>467</v>
      </c>
      <c r="E104" s="17" t="s">
        <v>288</v>
      </c>
      <c r="F104" s="12" t="s">
        <v>229</v>
      </c>
      <c r="G104" s="12">
        <v>8700</v>
      </c>
      <c r="H104" s="47" t="s">
        <v>319</v>
      </c>
      <c r="I104" s="13"/>
      <c r="J104" s="63"/>
      <c r="K104" s="22" t="str">
        <f>IF(OR(I104="",J104=""),"Monthly",IF(J104&lt;I104,0,(YEAR(J104)-YEAR(I104))*12+(MONTH(J104)-MONTH(I104))+1-IF(DAY(J104)&lt;DAY(I104),1,0)))</f>
        <v>Monthly</v>
      </c>
      <c r="L104" s="15">
        <v>-120744.59164849906</v>
      </c>
      <c r="M104" s="15">
        <v>-70594.591648499059</v>
      </c>
      <c r="N104" s="15"/>
      <c r="O104" s="15"/>
      <c r="P104" s="14">
        <v>-120744.59164849906</v>
      </c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</row>
    <row r="105" spans="1:79" s="33" customFormat="1" ht="36" outlineLevel="1" x14ac:dyDescent="0.25">
      <c r="A105" s="16">
        <v>440</v>
      </c>
      <c r="B105" s="12" t="s">
        <v>303</v>
      </c>
      <c r="C105" s="13" t="s">
        <v>304</v>
      </c>
      <c r="D105" s="17" t="s">
        <v>467</v>
      </c>
      <c r="E105" s="17" t="s">
        <v>288</v>
      </c>
      <c r="F105" s="12" t="s">
        <v>229</v>
      </c>
      <c r="G105" s="12">
        <v>8700</v>
      </c>
      <c r="H105" s="47" t="s">
        <v>319</v>
      </c>
      <c r="I105" s="13"/>
      <c r="J105" s="63"/>
      <c r="K105" s="22" t="str">
        <f>IF(OR(I105="",J105=""),"Monthly",IF(J105&lt;I105,0,(YEAR(J105)-YEAR(I105))*12+(MONTH(J105)-MONTH(I105))+1-IF(DAY(J105)&lt;DAY(I105),1,0)))</f>
        <v>Monthly</v>
      </c>
      <c r="L105" s="15">
        <v>120744.59164849906</v>
      </c>
      <c r="M105" s="15">
        <v>70594.101648499054</v>
      </c>
      <c r="N105" s="15"/>
      <c r="O105" s="15"/>
      <c r="P105" s="14">
        <v>120744.59164849906</v>
      </c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</row>
    <row r="106" spans="1:79" s="33" customFormat="1" ht="24" outlineLevel="1" x14ac:dyDescent="0.25">
      <c r="A106" s="16">
        <v>335</v>
      </c>
      <c r="B106" s="12" t="s">
        <v>312</v>
      </c>
      <c r="C106" s="13"/>
      <c r="D106" s="17" t="s">
        <v>389</v>
      </c>
      <c r="E106" s="13" t="s">
        <v>295</v>
      </c>
      <c r="F106" s="12" t="s">
        <v>313</v>
      </c>
      <c r="G106" s="12">
        <v>8700</v>
      </c>
      <c r="H106" s="47" t="s">
        <v>0</v>
      </c>
      <c r="I106" s="13"/>
      <c r="J106" s="63"/>
      <c r="K106" s="22" t="str">
        <f>IF(OR(I106="",J106=""),"Monthly",IF(J106&lt;I106,0,(YEAR(J106)-YEAR(I106))*12+(MONTH(J106)-MONTH(I106))+1-IF(DAY(J106)&lt;DAY(I106),1,0)))</f>
        <v>Monthly</v>
      </c>
      <c r="L106" s="15">
        <v>3000000</v>
      </c>
      <c r="M106" s="15">
        <v>244475.9700000002</v>
      </c>
      <c r="N106" s="15"/>
      <c r="O106" s="15"/>
      <c r="P106" s="14">
        <v>3000000</v>
      </c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</row>
    <row r="107" spans="1:79" s="33" customFormat="1" ht="36" outlineLevel="1" x14ac:dyDescent="0.25">
      <c r="A107" s="16">
        <v>103</v>
      </c>
      <c r="B107" s="12" t="s">
        <v>268</v>
      </c>
      <c r="C107" s="13" t="s">
        <v>269</v>
      </c>
      <c r="D107" s="17" t="s">
        <v>389</v>
      </c>
      <c r="E107" s="17" t="s">
        <v>468</v>
      </c>
      <c r="F107" s="12" t="s">
        <v>97</v>
      </c>
      <c r="G107" s="12">
        <v>8200</v>
      </c>
      <c r="H107" s="47" t="s">
        <v>78</v>
      </c>
      <c r="I107" s="48">
        <v>45565</v>
      </c>
      <c r="J107" s="49">
        <v>46659</v>
      </c>
      <c r="K107" s="16">
        <f t="shared" ref="K107:K124" si="4">IF(OR(I107="",J107=""),"",IF(J107&lt;I107,0,(YEAR(J107)-YEAR(I107))*12+(MONTH(J107)-MONTH(I107))+1-IF(DAY(J107)&lt;DAY(I107),1,0)))</f>
        <v>36</v>
      </c>
      <c r="L107" s="14">
        <v>88584.000000000015</v>
      </c>
      <c r="M107" s="14">
        <v>16351.881369863026</v>
      </c>
      <c r="N107" s="14"/>
      <c r="O107" s="14"/>
      <c r="P107" s="14">
        <v>88584.000000000015</v>
      </c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</row>
    <row r="108" spans="1:79" s="33" customFormat="1" ht="24" outlineLevel="1" x14ac:dyDescent="0.25">
      <c r="A108" s="16">
        <v>104</v>
      </c>
      <c r="B108" s="12" t="s">
        <v>47</v>
      </c>
      <c r="C108" s="13" t="s">
        <v>469</v>
      </c>
      <c r="D108" s="13" t="s">
        <v>391</v>
      </c>
      <c r="E108" s="17" t="s">
        <v>412</v>
      </c>
      <c r="F108" s="12" t="s">
        <v>81</v>
      </c>
      <c r="G108" s="12">
        <v>8200</v>
      </c>
      <c r="H108" s="47" t="s">
        <v>78</v>
      </c>
      <c r="I108" s="48">
        <v>45810</v>
      </c>
      <c r="J108" s="57">
        <v>46174</v>
      </c>
      <c r="K108" s="16">
        <f t="shared" si="4"/>
        <v>12</v>
      </c>
      <c r="L108" s="14">
        <v>45000</v>
      </c>
      <c r="M108" s="14">
        <v>4394.0197260273926</v>
      </c>
      <c r="N108" s="14"/>
      <c r="O108" s="21">
        <v>-30000</v>
      </c>
      <c r="P108" s="14">
        <v>15000</v>
      </c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</row>
    <row r="109" spans="1:79" s="33" customFormat="1" ht="36" outlineLevel="1" x14ac:dyDescent="0.25">
      <c r="A109" s="16">
        <v>105</v>
      </c>
      <c r="B109" s="12" t="s">
        <v>231</v>
      </c>
      <c r="C109" s="13" t="s">
        <v>232</v>
      </c>
      <c r="D109" s="13" t="s">
        <v>419</v>
      </c>
      <c r="E109" s="13" t="s">
        <v>470</v>
      </c>
      <c r="F109" s="12" t="s">
        <v>81</v>
      </c>
      <c r="G109" s="12">
        <v>8200</v>
      </c>
      <c r="H109" s="47" t="s">
        <v>78</v>
      </c>
      <c r="I109" s="48">
        <v>45837</v>
      </c>
      <c r="J109" s="57">
        <v>46201</v>
      </c>
      <c r="K109" s="16">
        <f t="shared" si="4"/>
        <v>12</v>
      </c>
      <c r="L109" s="14">
        <v>15000</v>
      </c>
      <c r="M109" s="14">
        <v>8679.9687738419634</v>
      </c>
      <c r="N109" s="14"/>
      <c r="O109" s="14"/>
      <c r="P109" s="14">
        <v>15000</v>
      </c>
    </row>
    <row r="110" spans="1:79" s="33" customFormat="1" ht="24" outlineLevel="1" x14ac:dyDescent="0.25">
      <c r="A110" s="16">
        <v>106</v>
      </c>
      <c r="B110" s="12" t="s">
        <v>228</v>
      </c>
      <c r="C110" s="13" t="s">
        <v>230</v>
      </c>
      <c r="D110" s="17" t="s">
        <v>467</v>
      </c>
      <c r="E110" s="13" t="s">
        <v>288</v>
      </c>
      <c r="F110" s="12" t="s">
        <v>229</v>
      </c>
      <c r="G110" s="12">
        <v>8200</v>
      </c>
      <c r="H110" s="47" t="s">
        <v>78</v>
      </c>
      <c r="I110" s="48">
        <v>46053</v>
      </c>
      <c r="J110" s="49">
        <v>46782</v>
      </c>
      <c r="K110" s="16">
        <f t="shared" si="4"/>
        <v>24</v>
      </c>
      <c r="L110" s="14">
        <v>52565.273972602736</v>
      </c>
      <c r="M110" s="14">
        <v>-24741.784657534241</v>
      </c>
      <c r="N110" s="14"/>
      <c r="O110" s="14"/>
      <c r="P110" s="14">
        <v>52565.273972602736</v>
      </c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</row>
    <row r="111" spans="1:79" s="33" customFormat="1" ht="24" outlineLevel="1" x14ac:dyDescent="0.25">
      <c r="A111" s="16">
        <v>110</v>
      </c>
      <c r="B111" s="12" t="s">
        <v>136</v>
      </c>
      <c r="C111" s="13" t="s">
        <v>137</v>
      </c>
      <c r="D111" s="17" t="s">
        <v>421</v>
      </c>
      <c r="E111" s="13" t="s">
        <v>405</v>
      </c>
      <c r="F111" s="12" t="s">
        <v>92</v>
      </c>
      <c r="G111" s="12">
        <v>8200</v>
      </c>
      <c r="H111" s="47" t="s">
        <v>78</v>
      </c>
      <c r="I111" s="48">
        <v>45547</v>
      </c>
      <c r="J111" s="49">
        <v>46276</v>
      </c>
      <c r="K111" s="16">
        <f t="shared" si="4"/>
        <v>24</v>
      </c>
      <c r="L111" s="14">
        <v>4000</v>
      </c>
      <c r="M111" s="14">
        <v>197.55000000000018</v>
      </c>
      <c r="N111" s="14"/>
      <c r="O111" s="14"/>
      <c r="P111" s="14">
        <v>4000</v>
      </c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</row>
    <row r="112" spans="1:79" s="33" customFormat="1" ht="24" outlineLevel="1" x14ac:dyDescent="0.25">
      <c r="A112" s="16">
        <v>107</v>
      </c>
      <c r="B112" s="12" t="s">
        <v>136</v>
      </c>
      <c r="C112" s="13" t="s">
        <v>350</v>
      </c>
      <c r="D112" s="17" t="s">
        <v>421</v>
      </c>
      <c r="E112" s="13" t="s">
        <v>291</v>
      </c>
      <c r="F112" s="12" t="s">
        <v>114</v>
      </c>
      <c r="G112" s="12">
        <v>8200</v>
      </c>
      <c r="H112" s="47" t="s">
        <v>78</v>
      </c>
      <c r="I112" s="48">
        <v>45838</v>
      </c>
      <c r="J112" s="57">
        <v>46202</v>
      </c>
      <c r="K112" s="16">
        <f t="shared" si="4"/>
        <v>12</v>
      </c>
      <c r="L112" s="14">
        <v>113147.99999999999</v>
      </c>
      <c r="M112" s="14">
        <v>84605.923287671219</v>
      </c>
      <c r="N112" s="21"/>
      <c r="O112" s="15"/>
      <c r="P112" s="14">
        <v>113147.99999999999</v>
      </c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</row>
    <row r="113" spans="1:79" s="33" customFormat="1" ht="24" outlineLevel="1" x14ac:dyDescent="0.25">
      <c r="A113" s="16">
        <v>219</v>
      </c>
      <c r="B113" s="12" t="s">
        <v>136</v>
      </c>
      <c r="C113" s="13" t="s">
        <v>471</v>
      </c>
      <c r="D113" s="17" t="s">
        <v>421</v>
      </c>
      <c r="E113" s="13" t="s">
        <v>291</v>
      </c>
      <c r="F113" s="12" t="s">
        <v>114</v>
      </c>
      <c r="G113" s="12">
        <v>8200</v>
      </c>
      <c r="H113" s="47" t="s">
        <v>78</v>
      </c>
      <c r="I113" s="48">
        <v>45911</v>
      </c>
      <c r="J113" s="49">
        <v>46275</v>
      </c>
      <c r="K113" s="16">
        <f t="shared" si="4"/>
        <v>12</v>
      </c>
      <c r="L113" s="14">
        <v>66087.326349044088</v>
      </c>
      <c r="M113" s="14">
        <v>33327.985143564656</v>
      </c>
      <c r="N113" s="53"/>
      <c r="O113" s="54"/>
      <c r="P113" s="14">
        <v>66087.326349044088</v>
      </c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</row>
    <row r="114" spans="1:79" s="33" customFormat="1" ht="24" outlineLevel="1" x14ac:dyDescent="0.25">
      <c r="A114" s="16">
        <v>109</v>
      </c>
      <c r="B114" s="12" t="s">
        <v>136</v>
      </c>
      <c r="C114" s="13" t="s">
        <v>351</v>
      </c>
      <c r="D114" s="17" t="s">
        <v>421</v>
      </c>
      <c r="E114" s="13" t="s">
        <v>291</v>
      </c>
      <c r="F114" s="12" t="s">
        <v>114</v>
      </c>
      <c r="G114" s="12">
        <v>8200</v>
      </c>
      <c r="H114" s="47" t="s">
        <v>78</v>
      </c>
      <c r="I114" s="48">
        <v>45742</v>
      </c>
      <c r="J114" s="57">
        <v>46106</v>
      </c>
      <c r="K114" s="16">
        <f t="shared" si="4"/>
        <v>12</v>
      </c>
      <c r="L114" s="14">
        <v>105300</v>
      </c>
      <c r="M114" s="14">
        <v>67958.480547945204</v>
      </c>
      <c r="N114" s="21"/>
      <c r="O114" s="15"/>
      <c r="P114" s="14">
        <v>105300</v>
      </c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</row>
    <row r="115" spans="1:79" s="33" customFormat="1" ht="24" outlineLevel="1" x14ac:dyDescent="0.25">
      <c r="A115" s="16">
        <v>108</v>
      </c>
      <c r="B115" s="12" t="s">
        <v>136</v>
      </c>
      <c r="C115" s="13" t="s">
        <v>472</v>
      </c>
      <c r="D115" s="17" t="s">
        <v>421</v>
      </c>
      <c r="E115" s="13" t="s">
        <v>291</v>
      </c>
      <c r="F115" s="12" t="s">
        <v>114</v>
      </c>
      <c r="G115" s="12">
        <v>8200</v>
      </c>
      <c r="H115" s="47" t="s">
        <v>78</v>
      </c>
      <c r="I115" s="48">
        <v>46025</v>
      </c>
      <c r="J115" s="49">
        <v>46389</v>
      </c>
      <c r="K115" s="16">
        <f t="shared" si="4"/>
        <v>12</v>
      </c>
      <c r="L115" s="14">
        <v>32601.599999999995</v>
      </c>
      <c r="M115" s="14">
        <v>6754.0197534246472</v>
      </c>
      <c r="N115" s="14"/>
      <c r="O115" s="14"/>
      <c r="P115" s="14">
        <v>32601.599999999995</v>
      </c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</row>
    <row r="116" spans="1:79" s="33" customFormat="1" ht="24" outlineLevel="1" x14ac:dyDescent="0.25">
      <c r="A116" s="16">
        <v>111</v>
      </c>
      <c r="B116" s="12" t="s">
        <v>233</v>
      </c>
      <c r="C116" s="13" t="s">
        <v>473</v>
      </c>
      <c r="D116" s="17" t="s">
        <v>376</v>
      </c>
      <c r="E116" s="13" t="s">
        <v>291</v>
      </c>
      <c r="F116" s="12" t="s">
        <v>114</v>
      </c>
      <c r="G116" s="12">
        <v>8200</v>
      </c>
      <c r="H116" s="47" t="s">
        <v>78</v>
      </c>
      <c r="I116" s="48">
        <v>45778</v>
      </c>
      <c r="J116" s="49">
        <v>46873</v>
      </c>
      <c r="K116" s="16">
        <f t="shared" si="4"/>
        <v>36</v>
      </c>
      <c r="L116" s="14">
        <v>25230.291970802911</v>
      </c>
      <c r="M116" s="14">
        <v>-2142.8067153284683</v>
      </c>
      <c r="N116" s="14"/>
      <c r="O116" s="14"/>
      <c r="P116" s="14">
        <v>25230.291970802911</v>
      </c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</row>
    <row r="117" spans="1:79" s="33" customFormat="1" ht="24" outlineLevel="1" x14ac:dyDescent="0.25">
      <c r="A117" s="16">
        <v>205</v>
      </c>
      <c r="B117" s="12" t="s">
        <v>337</v>
      </c>
      <c r="C117" s="13" t="s">
        <v>474</v>
      </c>
      <c r="D117" s="17" t="s">
        <v>419</v>
      </c>
      <c r="E117" s="17" t="s">
        <v>475</v>
      </c>
      <c r="F117" s="12" t="s">
        <v>81</v>
      </c>
      <c r="G117" s="12">
        <v>8200</v>
      </c>
      <c r="H117" s="47" t="s">
        <v>78</v>
      </c>
      <c r="I117" s="48">
        <v>45833</v>
      </c>
      <c r="J117" s="49">
        <v>46197</v>
      </c>
      <c r="K117" s="16">
        <f t="shared" si="4"/>
        <v>12</v>
      </c>
      <c r="L117" s="14">
        <v>11200</v>
      </c>
      <c r="M117" s="14">
        <v>636.67726027397293</v>
      </c>
      <c r="N117" s="14"/>
      <c r="O117" s="14"/>
      <c r="P117" s="14">
        <v>11200</v>
      </c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</row>
    <row r="118" spans="1:79" s="33" customFormat="1" ht="24" outlineLevel="1" x14ac:dyDescent="0.25">
      <c r="A118" s="16">
        <v>113</v>
      </c>
      <c r="B118" s="12" t="s">
        <v>138</v>
      </c>
      <c r="C118" s="13" t="s">
        <v>139</v>
      </c>
      <c r="D118" s="17" t="s">
        <v>465</v>
      </c>
      <c r="E118" s="13" t="s">
        <v>293</v>
      </c>
      <c r="F118" s="12" t="s">
        <v>83</v>
      </c>
      <c r="G118" s="12">
        <v>8200</v>
      </c>
      <c r="H118" s="47" t="s">
        <v>78</v>
      </c>
      <c r="I118" s="48">
        <v>45933</v>
      </c>
      <c r="J118" s="49">
        <v>46297</v>
      </c>
      <c r="K118" s="16">
        <f t="shared" si="4"/>
        <v>12</v>
      </c>
      <c r="L118" s="24">
        <v>5798.5303561643832</v>
      </c>
      <c r="M118" s="24">
        <v>-1727.2218082191775</v>
      </c>
      <c r="N118" s="24"/>
      <c r="O118" s="24"/>
      <c r="P118" s="14">
        <v>5798.5303561643832</v>
      </c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</row>
    <row r="119" spans="1:79" s="33" customFormat="1" ht="24" outlineLevel="1" x14ac:dyDescent="0.25">
      <c r="A119" s="16">
        <v>113</v>
      </c>
      <c r="B119" s="12" t="s">
        <v>138</v>
      </c>
      <c r="C119" s="13" t="s">
        <v>139</v>
      </c>
      <c r="D119" s="17" t="s">
        <v>465</v>
      </c>
      <c r="E119" s="13" t="s">
        <v>291</v>
      </c>
      <c r="F119" s="12" t="s">
        <v>114</v>
      </c>
      <c r="G119" s="12">
        <v>8200</v>
      </c>
      <c r="H119" s="47" t="s">
        <v>78</v>
      </c>
      <c r="I119" s="48">
        <v>45933</v>
      </c>
      <c r="J119" s="49">
        <v>46297</v>
      </c>
      <c r="K119" s="16">
        <f t="shared" si="4"/>
        <v>12</v>
      </c>
      <c r="L119" s="14">
        <v>23641.3485</v>
      </c>
      <c r="M119" s="14">
        <v>23641.3485</v>
      </c>
      <c r="N119" s="14"/>
      <c r="O119" s="14"/>
      <c r="P119" s="14">
        <v>23641.3485</v>
      </c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</row>
    <row r="120" spans="1:79" s="33" customFormat="1" ht="36" outlineLevel="1" x14ac:dyDescent="0.25">
      <c r="A120" s="16">
        <v>115</v>
      </c>
      <c r="B120" s="12" t="s">
        <v>138</v>
      </c>
      <c r="C120" s="13" t="s">
        <v>476</v>
      </c>
      <c r="D120" s="17" t="s">
        <v>389</v>
      </c>
      <c r="E120" s="17" t="s">
        <v>295</v>
      </c>
      <c r="F120" s="12" t="s">
        <v>140</v>
      </c>
      <c r="G120" s="12">
        <v>8200</v>
      </c>
      <c r="H120" s="47" t="s">
        <v>78</v>
      </c>
      <c r="I120" s="48">
        <v>45093</v>
      </c>
      <c r="J120" s="57">
        <v>46188</v>
      </c>
      <c r="K120" s="16">
        <f t="shared" si="4"/>
        <v>36</v>
      </c>
      <c r="L120" s="14">
        <v>-158909.97123266</v>
      </c>
      <c r="M120" s="14">
        <v>-103614.01040236803</v>
      </c>
      <c r="N120" s="14"/>
      <c r="O120" s="14"/>
      <c r="P120" s="14">
        <v>-158909.97123266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</row>
    <row r="121" spans="1:79" s="33" customFormat="1" ht="36" outlineLevel="1" x14ac:dyDescent="0.25">
      <c r="A121" s="16">
        <v>115</v>
      </c>
      <c r="B121" s="12" t="s">
        <v>138</v>
      </c>
      <c r="C121" s="13" t="s">
        <v>476</v>
      </c>
      <c r="D121" s="17" t="s">
        <v>389</v>
      </c>
      <c r="E121" s="17" t="s">
        <v>295</v>
      </c>
      <c r="F121" s="12" t="s">
        <v>140</v>
      </c>
      <c r="G121" s="12">
        <v>8200</v>
      </c>
      <c r="H121" s="47" t="s">
        <v>78</v>
      </c>
      <c r="I121" s="48">
        <v>45093</v>
      </c>
      <c r="J121" s="57">
        <v>46188</v>
      </c>
      <c r="K121" s="16">
        <f t="shared" si="4"/>
        <v>36</v>
      </c>
      <c r="L121" s="14">
        <v>158909.97123266</v>
      </c>
      <c r="M121" s="14">
        <v>103614.01040236803</v>
      </c>
      <c r="N121" s="14"/>
      <c r="O121" s="14"/>
      <c r="P121" s="14">
        <v>158909.97123266</v>
      </c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</row>
    <row r="122" spans="1:79" s="33" customFormat="1" ht="36" outlineLevel="1" x14ac:dyDescent="0.25">
      <c r="A122" s="16">
        <v>114</v>
      </c>
      <c r="B122" s="12" t="s">
        <v>138</v>
      </c>
      <c r="C122" s="23" t="s">
        <v>477</v>
      </c>
      <c r="D122" s="17" t="s">
        <v>389</v>
      </c>
      <c r="E122" s="17" t="s">
        <v>295</v>
      </c>
      <c r="F122" s="12" t="s">
        <v>141</v>
      </c>
      <c r="G122" s="12">
        <v>8200</v>
      </c>
      <c r="H122" s="47" t="s">
        <v>78</v>
      </c>
      <c r="I122" s="48">
        <v>45093</v>
      </c>
      <c r="J122" s="57">
        <v>46188</v>
      </c>
      <c r="K122" s="16">
        <f t="shared" si="4"/>
        <v>36</v>
      </c>
      <c r="L122" s="14">
        <v>566888.66666666663</v>
      </c>
      <c r="M122" s="14">
        <v>-2160.7495742092142</v>
      </c>
      <c r="N122" s="14"/>
      <c r="O122" s="14"/>
      <c r="P122" s="14">
        <v>566888.66666666663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</row>
    <row r="123" spans="1:79" s="33" customFormat="1" outlineLevel="1" x14ac:dyDescent="0.25">
      <c r="A123" s="16">
        <v>112</v>
      </c>
      <c r="B123" s="12" t="s">
        <v>138</v>
      </c>
      <c r="C123" s="13" t="s">
        <v>142</v>
      </c>
      <c r="D123" s="17" t="s">
        <v>465</v>
      </c>
      <c r="E123" s="13" t="s">
        <v>293</v>
      </c>
      <c r="F123" s="12" t="s">
        <v>83</v>
      </c>
      <c r="G123" s="12">
        <v>8200</v>
      </c>
      <c r="H123" s="47" t="s">
        <v>78</v>
      </c>
      <c r="I123" s="48">
        <v>45962</v>
      </c>
      <c r="J123" s="49">
        <v>46326</v>
      </c>
      <c r="K123" s="16">
        <f t="shared" si="4"/>
        <v>12</v>
      </c>
      <c r="L123" s="14">
        <v>2332.8887671232878</v>
      </c>
      <c r="M123" s="14">
        <v>18.966575342466058</v>
      </c>
      <c r="N123" s="14"/>
      <c r="O123" s="14"/>
      <c r="P123" s="14">
        <v>2332.8887671232878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</row>
    <row r="124" spans="1:79" s="33" customFormat="1" outlineLevel="1" x14ac:dyDescent="0.25">
      <c r="A124" s="16">
        <v>112</v>
      </c>
      <c r="B124" s="12" t="s">
        <v>138</v>
      </c>
      <c r="C124" s="13" t="s">
        <v>142</v>
      </c>
      <c r="D124" s="17" t="s">
        <v>465</v>
      </c>
      <c r="E124" s="13" t="s">
        <v>291</v>
      </c>
      <c r="F124" s="12" t="s">
        <v>114</v>
      </c>
      <c r="G124" s="12">
        <v>8200</v>
      </c>
      <c r="H124" s="47" t="s">
        <v>78</v>
      </c>
      <c r="I124" s="48">
        <v>45962</v>
      </c>
      <c r="J124" s="49">
        <v>46326</v>
      </c>
      <c r="K124" s="16">
        <f t="shared" si="4"/>
        <v>12</v>
      </c>
      <c r="L124" s="24">
        <v>7268.9400000000005</v>
      </c>
      <c r="M124" s="24">
        <v>7268.9400000000005</v>
      </c>
      <c r="N124" s="24"/>
      <c r="O124" s="24"/>
      <c r="P124" s="14">
        <v>7268.9400000000005</v>
      </c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</row>
    <row r="125" spans="1:79" s="33" customFormat="1" ht="24" outlineLevel="1" x14ac:dyDescent="0.25">
      <c r="A125" s="16">
        <v>418</v>
      </c>
      <c r="B125" s="12" t="s">
        <v>138</v>
      </c>
      <c r="C125" s="13" t="s">
        <v>206</v>
      </c>
      <c r="D125" s="17" t="s">
        <v>442</v>
      </c>
      <c r="E125" s="13" t="s">
        <v>291</v>
      </c>
      <c r="F125" s="12" t="s">
        <v>114</v>
      </c>
      <c r="G125" s="12">
        <v>8200</v>
      </c>
      <c r="H125" s="16"/>
      <c r="I125" s="13"/>
      <c r="J125" s="63"/>
      <c r="K125" s="22" t="str">
        <f>IF(OR(I125="",J125=""),"Monthly",IF(J125&lt;I125,0,(YEAR(J125)-YEAR(I125))*12+(MONTH(J125)-MONTH(I125))+1-IF(DAY(J125)&lt;DAY(I125),1,0)))</f>
        <v>Monthly</v>
      </c>
      <c r="L125" s="24">
        <v>40000</v>
      </c>
      <c r="M125" s="24">
        <v>40000</v>
      </c>
      <c r="N125" s="24"/>
      <c r="O125" s="24"/>
      <c r="P125" s="14">
        <v>40000</v>
      </c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</row>
    <row r="126" spans="1:79" s="33" customFormat="1" ht="36" outlineLevel="1" x14ac:dyDescent="0.25">
      <c r="A126" s="16">
        <v>117</v>
      </c>
      <c r="B126" s="12" t="s">
        <v>478</v>
      </c>
      <c r="C126" s="13" t="s">
        <v>479</v>
      </c>
      <c r="D126" s="17" t="s">
        <v>376</v>
      </c>
      <c r="E126" s="17" t="s">
        <v>396</v>
      </c>
      <c r="F126" s="12" t="s">
        <v>81</v>
      </c>
      <c r="G126" s="12">
        <v>8200</v>
      </c>
      <c r="H126" s="47" t="s">
        <v>78</v>
      </c>
      <c r="I126" s="48">
        <v>46023</v>
      </c>
      <c r="J126" s="49">
        <v>46387</v>
      </c>
      <c r="K126" s="16">
        <f>IF(OR(I126="",J126=""),"",IF(J126&lt;I126,0,(YEAR(J126)-YEAR(I126))*12+(MONTH(J126)-MONTH(I126))+1-IF(DAY(J126)&lt;DAY(I126),1,0)))</f>
        <v>12</v>
      </c>
      <c r="L126" s="14">
        <v>24773.619726027398</v>
      </c>
      <c r="M126" s="14">
        <v>12135.495342465756</v>
      </c>
      <c r="N126" s="14"/>
      <c r="O126" s="14"/>
      <c r="P126" s="14">
        <v>24773.619726027398</v>
      </c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</row>
    <row r="127" spans="1:79" ht="24" x14ac:dyDescent="0.25">
      <c r="A127" s="16">
        <v>118</v>
      </c>
      <c r="B127" s="12" t="s">
        <v>143</v>
      </c>
      <c r="C127" s="13" t="s">
        <v>144</v>
      </c>
      <c r="D127" s="17" t="s">
        <v>389</v>
      </c>
      <c r="E127" s="17" t="s">
        <v>295</v>
      </c>
      <c r="F127" s="12" t="s">
        <v>97</v>
      </c>
      <c r="G127" s="12">
        <v>8200</v>
      </c>
      <c r="H127" s="47" t="s">
        <v>78</v>
      </c>
      <c r="I127" s="48">
        <v>45934</v>
      </c>
      <c r="J127" s="49">
        <v>46298</v>
      </c>
      <c r="K127" s="16">
        <f>IF(OR(I127="",J127=""),"",IF(J127&lt;I127,0,(YEAR(J127)-YEAR(I127))*12+(MONTH(J127)-MONTH(I127))+1-IF(DAY(J127)&lt;DAY(I127),1,0)))</f>
        <v>12</v>
      </c>
      <c r="L127" s="14">
        <v>1771.2745205479455</v>
      </c>
      <c r="M127" s="14">
        <v>-4955.1638356164385</v>
      </c>
      <c r="N127" s="14"/>
      <c r="O127" s="14"/>
      <c r="P127" s="14">
        <v>1771.2745205479455</v>
      </c>
    </row>
    <row r="128" spans="1:79" ht="24" x14ac:dyDescent="0.25">
      <c r="A128" s="16">
        <v>220</v>
      </c>
      <c r="B128" s="12" t="s">
        <v>143</v>
      </c>
      <c r="C128" s="13" t="s">
        <v>145</v>
      </c>
      <c r="D128" s="17" t="s">
        <v>389</v>
      </c>
      <c r="E128" s="17" t="s">
        <v>295</v>
      </c>
      <c r="F128" s="12" t="s">
        <v>97</v>
      </c>
      <c r="G128" s="12">
        <v>8200</v>
      </c>
      <c r="H128" s="47" t="s">
        <v>78</v>
      </c>
      <c r="I128" s="48">
        <v>46043</v>
      </c>
      <c r="J128" s="49">
        <v>46407</v>
      </c>
      <c r="K128" s="16">
        <f>IF(OR(I128="",J128=""),"",IF(J128&lt;I128,0,(YEAR(J128)-YEAR(I128))*12+(MONTH(J128)-MONTH(I128))+1-IF(DAY(J128)&lt;DAY(I128),1,0)))</f>
        <v>12</v>
      </c>
      <c r="L128" s="14">
        <v>1788.4931506849316</v>
      </c>
      <c r="M128" s="14">
        <v>718.90410958904113</v>
      </c>
      <c r="N128" s="14"/>
      <c r="O128" s="14"/>
      <c r="P128" s="14">
        <v>1788.4931506849316</v>
      </c>
    </row>
    <row r="129" spans="1:18" ht="12" customHeight="1" x14ac:dyDescent="0.25">
      <c r="A129" s="16">
        <v>426</v>
      </c>
      <c r="B129" s="12" t="s">
        <v>480</v>
      </c>
      <c r="C129" s="13" t="s">
        <v>481</v>
      </c>
      <c r="D129" s="17" t="s">
        <v>389</v>
      </c>
      <c r="E129" s="17" t="s">
        <v>295</v>
      </c>
      <c r="F129" s="12" t="s">
        <v>97</v>
      </c>
      <c r="G129" s="12">
        <v>8200</v>
      </c>
      <c r="H129" s="47" t="s">
        <v>319</v>
      </c>
      <c r="I129" s="64">
        <v>46044</v>
      </c>
      <c r="J129" s="65">
        <v>46134</v>
      </c>
      <c r="K129" s="22" t="s">
        <v>482</v>
      </c>
      <c r="L129" s="15">
        <v>24960</v>
      </c>
      <c r="M129" s="15">
        <v>12943.119999999999</v>
      </c>
      <c r="N129" s="15"/>
      <c r="O129" s="15"/>
      <c r="P129" s="14">
        <v>24960</v>
      </c>
    </row>
    <row r="130" spans="1:18" ht="24" x14ac:dyDescent="0.25">
      <c r="A130" s="16" t="s">
        <v>483</v>
      </c>
      <c r="B130" s="12" t="s">
        <v>318</v>
      </c>
      <c r="C130" s="13" t="s">
        <v>484</v>
      </c>
      <c r="D130" s="17" t="s">
        <v>393</v>
      </c>
      <c r="E130" s="13" t="s">
        <v>293</v>
      </c>
      <c r="F130" s="12" t="s">
        <v>83</v>
      </c>
      <c r="G130" s="12">
        <v>8300</v>
      </c>
      <c r="H130" s="47" t="s">
        <v>319</v>
      </c>
      <c r="I130" s="13"/>
      <c r="J130" s="63"/>
      <c r="K130" s="22" t="str">
        <f>IF(OR(I130="",J130=""),"Monthly",IF(J130&lt;I130,0,(YEAR(J130)-YEAR(I130))*12+(MONTH(J130)-MONTH(I130))+1-IF(DAY(J130)&lt;DAY(I130),1,0)))</f>
        <v>Monthly</v>
      </c>
      <c r="L130" s="15">
        <v>42000</v>
      </c>
      <c r="M130" s="15">
        <v>42000</v>
      </c>
      <c r="N130" s="15"/>
      <c r="O130" s="15"/>
      <c r="P130" s="14">
        <v>42000</v>
      </c>
    </row>
    <row r="131" spans="1:18" ht="24" x14ac:dyDescent="0.25">
      <c r="A131" s="16">
        <v>339</v>
      </c>
      <c r="B131" s="12" t="s">
        <v>314</v>
      </c>
      <c r="C131" s="13" t="s">
        <v>485</v>
      </c>
      <c r="D131" s="17" t="s">
        <v>433</v>
      </c>
      <c r="E131" s="17" t="s">
        <v>405</v>
      </c>
      <c r="F131" s="12" t="s">
        <v>92</v>
      </c>
      <c r="G131" s="12">
        <v>8700</v>
      </c>
      <c r="H131" s="47" t="s">
        <v>0</v>
      </c>
      <c r="I131" s="64">
        <v>45597</v>
      </c>
      <c r="J131" s="65">
        <v>46692</v>
      </c>
      <c r="K131" s="22">
        <f>IF(OR(I131="",J131=""),"Monthly",IF(J131&lt;I131,0,(YEAR(J131)-YEAR(I131))*12+(MONTH(J131)-MONTH(I131))+1-IF(DAY(J131)&lt;DAY(I131),1,0)))</f>
        <v>37</v>
      </c>
      <c r="L131" s="15">
        <v>20832</v>
      </c>
      <c r="M131" s="15">
        <v>-18750.880000000005</v>
      </c>
      <c r="N131" s="15"/>
      <c r="O131" s="15"/>
      <c r="P131" s="14">
        <v>20832</v>
      </c>
    </row>
    <row r="132" spans="1:18" x14ac:dyDescent="0.25">
      <c r="A132" s="16">
        <v>19</v>
      </c>
      <c r="B132" s="50" t="s">
        <v>192</v>
      </c>
      <c r="C132" s="23" t="s">
        <v>486</v>
      </c>
      <c r="D132" s="17" t="s">
        <v>389</v>
      </c>
      <c r="E132" s="17" t="s">
        <v>295</v>
      </c>
      <c r="F132" s="12" t="s">
        <v>141</v>
      </c>
      <c r="G132" s="12">
        <v>8200</v>
      </c>
      <c r="H132" s="47" t="s">
        <v>0</v>
      </c>
      <c r="I132" s="48"/>
      <c r="J132" s="49"/>
      <c r="K132" s="16" t="str">
        <f>IF(OR(I132="",J132=""),"",IF(J132&lt;I132,0,(YEAR(J132)-YEAR(I132))*12+(MONTH(J132)-MONTH(I132))+1-IF(DAY(J132)&lt;DAY(I132),1,0)))</f>
        <v/>
      </c>
      <c r="L132" s="14">
        <v>296008</v>
      </c>
      <c r="M132" s="14">
        <v>-49449.735159999982</v>
      </c>
      <c r="N132" s="14"/>
      <c r="O132" s="14"/>
      <c r="P132" s="14">
        <v>296008</v>
      </c>
    </row>
    <row r="133" spans="1:18" x14ac:dyDescent="0.25">
      <c r="A133" s="16">
        <v>18</v>
      </c>
      <c r="B133" s="50" t="s">
        <v>192</v>
      </c>
      <c r="C133" s="13" t="s">
        <v>431</v>
      </c>
      <c r="D133" s="17" t="s">
        <v>389</v>
      </c>
      <c r="E133" s="17" t="s">
        <v>295</v>
      </c>
      <c r="F133" s="12" t="s">
        <v>97</v>
      </c>
      <c r="G133" s="12">
        <v>8700</v>
      </c>
      <c r="H133" s="47" t="s">
        <v>78</v>
      </c>
      <c r="I133" s="48"/>
      <c r="J133" s="49"/>
      <c r="K133" s="16" t="str">
        <f>IF(OR(I133="",J133=""),"",IF(J133&lt;I133,0,(YEAR(J133)-YEAR(I133))*12+(MONTH(J133)-MONTH(I133))+1-IF(DAY(J133)&lt;DAY(I133),1,0)))</f>
        <v/>
      </c>
      <c r="L133" s="14">
        <v>20000</v>
      </c>
      <c r="M133" s="14">
        <v>20000</v>
      </c>
      <c r="N133" s="14"/>
      <c r="O133" s="14"/>
      <c r="P133" s="14">
        <v>20000</v>
      </c>
    </row>
    <row r="134" spans="1:18" ht="24" x14ac:dyDescent="0.25">
      <c r="A134" s="16">
        <v>347</v>
      </c>
      <c r="B134" s="12" t="s">
        <v>305</v>
      </c>
      <c r="C134" s="13" t="s">
        <v>487</v>
      </c>
      <c r="D134" s="17" t="s">
        <v>442</v>
      </c>
      <c r="E134" s="13" t="s">
        <v>291</v>
      </c>
      <c r="F134" s="12" t="s">
        <v>114</v>
      </c>
      <c r="G134" s="12">
        <v>8700</v>
      </c>
      <c r="H134" s="47" t="s">
        <v>0</v>
      </c>
      <c r="I134" s="13"/>
      <c r="J134" s="63"/>
      <c r="K134" s="22" t="str">
        <f>IF(OR(I134="",J134=""),"Monthly",IF(J134&lt;I134,0,(YEAR(J134)-YEAR(I134))*12+(MONTH(J134)-MONTH(I134))+1-IF(DAY(J134)&lt;DAY(I134),1,0)))</f>
        <v>Monthly</v>
      </c>
      <c r="L134" s="15">
        <v>49970</v>
      </c>
      <c r="M134" s="15">
        <v>27550</v>
      </c>
      <c r="N134" s="15"/>
      <c r="O134" s="15"/>
      <c r="P134" s="14">
        <v>49970</v>
      </c>
    </row>
    <row r="135" spans="1:18" x14ac:dyDescent="0.25">
      <c r="A135" s="16">
        <v>121</v>
      </c>
      <c r="B135" s="12" t="s">
        <v>488</v>
      </c>
      <c r="C135" s="13" t="s">
        <v>234</v>
      </c>
      <c r="D135" s="17" t="s">
        <v>376</v>
      </c>
      <c r="E135" s="17" t="s">
        <v>405</v>
      </c>
      <c r="F135" s="12" t="s">
        <v>81</v>
      </c>
      <c r="G135" s="12">
        <v>8200</v>
      </c>
      <c r="H135" s="47" t="s">
        <v>78</v>
      </c>
      <c r="I135" s="48">
        <v>45771</v>
      </c>
      <c r="J135" s="49">
        <v>46716</v>
      </c>
      <c r="K135" s="16">
        <f>IF(OR(I135="",J135=""),"",IF(J135&lt;I135,0,(YEAR(J135)-YEAR(I135))*12+(MONTH(J135)-MONTH(I135))+1-IF(DAY(J135)&lt;DAY(I135),1,0)))</f>
        <v>32</v>
      </c>
      <c r="L135" s="14">
        <v>222041.73150684932</v>
      </c>
      <c r="M135" s="14">
        <v>76692.100958904106</v>
      </c>
      <c r="N135" s="14"/>
      <c r="O135" s="14"/>
      <c r="P135" s="14">
        <v>222041.73150684932</v>
      </c>
    </row>
    <row r="136" spans="1:18" ht="12" customHeight="1" x14ac:dyDescent="0.25">
      <c r="A136" s="16">
        <v>122</v>
      </c>
      <c r="B136" s="12" t="s">
        <v>146</v>
      </c>
      <c r="C136" s="13" t="s">
        <v>147</v>
      </c>
      <c r="D136" s="17" t="s">
        <v>450</v>
      </c>
      <c r="E136" s="17" t="s">
        <v>489</v>
      </c>
      <c r="F136" s="12" t="s">
        <v>89</v>
      </c>
      <c r="G136" s="12">
        <v>8200</v>
      </c>
      <c r="H136" s="47" t="s">
        <v>78</v>
      </c>
      <c r="I136" s="48">
        <v>45991</v>
      </c>
      <c r="J136" s="49">
        <v>46355</v>
      </c>
      <c r="K136" s="16">
        <f>IF(OR(I136="",J136=""),"",IF(J136&lt;I136,0,(YEAR(J136)-YEAR(I136))*12+(MONTH(J136)-MONTH(I136))+1-IF(DAY(J136)&lt;DAY(I136),1,0)))</f>
        <v>12</v>
      </c>
      <c r="L136" s="14">
        <v>22489.934497716898</v>
      </c>
      <c r="M136" s="14">
        <v>1936.5591552511432</v>
      </c>
      <c r="N136" s="14"/>
      <c r="O136" s="14"/>
      <c r="P136" s="14">
        <v>22489.934497716898</v>
      </c>
    </row>
    <row r="137" spans="1:18" ht="12" customHeight="1" x14ac:dyDescent="0.25">
      <c r="A137" s="16">
        <v>126</v>
      </c>
      <c r="B137" s="12" t="s">
        <v>51</v>
      </c>
      <c r="C137" s="13" t="s">
        <v>235</v>
      </c>
      <c r="D137" s="17" t="s">
        <v>490</v>
      </c>
      <c r="E137" s="13" t="s">
        <v>491</v>
      </c>
      <c r="F137" s="12" t="s">
        <v>89</v>
      </c>
      <c r="G137" s="12">
        <v>8200</v>
      </c>
      <c r="H137" s="47" t="s">
        <v>78</v>
      </c>
      <c r="I137" s="48">
        <v>45532</v>
      </c>
      <c r="J137" s="49">
        <v>46626</v>
      </c>
      <c r="K137" s="16">
        <f>IF(OR(I137="",J137=""),"",IF(J137&lt;I137,0,(YEAR(J137)-YEAR(I137))*12+(MONTH(J137)-MONTH(I137))+1-IF(DAY(J137)&lt;DAY(I137),1,0)))</f>
        <v>36</v>
      </c>
      <c r="L137" s="14">
        <v>236900.00000000003</v>
      </c>
      <c r="M137" s="14">
        <v>15036.986301369878</v>
      </c>
      <c r="N137" s="14"/>
      <c r="O137" s="14"/>
      <c r="P137" s="14">
        <v>236900.00000000003</v>
      </c>
    </row>
    <row r="138" spans="1:18" ht="12" customHeight="1" x14ac:dyDescent="0.25">
      <c r="A138" s="16">
        <v>125</v>
      </c>
      <c r="B138" s="12" t="s">
        <v>51</v>
      </c>
      <c r="C138" s="13" t="s">
        <v>492</v>
      </c>
      <c r="D138" s="17" t="s">
        <v>450</v>
      </c>
      <c r="E138" s="13" t="s">
        <v>493</v>
      </c>
      <c r="F138" s="12" t="s">
        <v>77</v>
      </c>
      <c r="G138" s="12">
        <v>8200</v>
      </c>
      <c r="H138" s="47" t="s">
        <v>78</v>
      </c>
      <c r="I138" s="48">
        <v>45877</v>
      </c>
      <c r="J138" s="49">
        <v>46241</v>
      </c>
      <c r="K138" s="16">
        <f>IF(OR(I138="",J138=""),"",IF(J138&lt;I138,0,(YEAR(J138)-YEAR(I138))*12+(MONTH(J138)-MONTH(I138))+1-IF(DAY(J138)&lt;DAY(I138),1,0)))</f>
        <v>12</v>
      </c>
      <c r="L138" s="14">
        <v>354869.79452054796</v>
      </c>
      <c r="M138" s="14">
        <v>36223.674794520601</v>
      </c>
      <c r="N138" s="21">
        <v>-326095</v>
      </c>
      <c r="O138" s="15"/>
      <c r="P138" s="14">
        <v>28774.794520547963</v>
      </c>
    </row>
    <row r="139" spans="1:18" ht="36" x14ac:dyDescent="0.25">
      <c r="A139" s="16">
        <v>128</v>
      </c>
      <c r="B139" s="58" t="s">
        <v>19</v>
      </c>
      <c r="C139" s="13" t="s">
        <v>494</v>
      </c>
      <c r="D139" s="17" t="s">
        <v>389</v>
      </c>
      <c r="E139" s="17" t="s">
        <v>495</v>
      </c>
      <c r="F139" s="58" t="s">
        <v>97</v>
      </c>
      <c r="G139" s="58">
        <v>8200</v>
      </c>
      <c r="H139" s="47" t="s">
        <v>78</v>
      </c>
      <c r="I139" s="48">
        <v>45839</v>
      </c>
      <c r="J139" s="57">
        <v>46203</v>
      </c>
      <c r="K139" s="22" t="s">
        <v>416</v>
      </c>
      <c r="L139" s="14">
        <v>20620.800000000003</v>
      </c>
      <c r="M139" s="14">
        <v>7122.0682191780852</v>
      </c>
      <c r="N139" s="21">
        <v>-20620.800000000003</v>
      </c>
      <c r="O139" s="15"/>
      <c r="P139" s="14">
        <v>0</v>
      </c>
      <c r="R139" s="76"/>
    </row>
    <row r="140" spans="1:18" ht="12" customHeight="1" x14ac:dyDescent="0.25">
      <c r="A140" s="22" t="s">
        <v>381</v>
      </c>
      <c r="B140" s="17" t="s">
        <v>283</v>
      </c>
      <c r="C140" s="17" t="s">
        <v>496</v>
      </c>
      <c r="D140" s="17" t="s">
        <v>377</v>
      </c>
      <c r="E140" s="17" t="s">
        <v>284</v>
      </c>
      <c r="F140" s="23" t="s">
        <v>89</v>
      </c>
      <c r="G140" s="17">
        <v>8200</v>
      </c>
      <c r="H140" s="18"/>
      <c r="I140" s="17"/>
      <c r="J140" s="19"/>
      <c r="K140" s="18" t="str">
        <f>IF(OR(I140="",J140=""),"Monthly",IF(J140&lt;I140,0,(YEAR(J140)-YEAR(I140))*12+(MONTH(J140)-MONTH(I140))+1-IF(DAY(J140)&lt;DAY(I140),1,0)))</f>
        <v>Monthly</v>
      </c>
      <c r="L140" s="15">
        <v>10000</v>
      </c>
      <c r="M140" s="15">
        <v>10000</v>
      </c>
      <c r="N140" s="15"/>
      <c r="O140" s="15"/>
      <c r="P140" s="14">
        <v>10000</v>
      </c>
    </row>
    <row r="141" spans="1:18" ht="36" x14ac:dyDescent="0.25">
      <c r="A141" s="16">
        <v>206</v>
      </c>
      <c r="B141" s="17" t="s">
        <v>236</v>
      </c>
      <c r="C141" s="17" t="s">
        <v>223</v>
      </c>
      <c r="D141" s="17" t="s">
        <v>442</v>
      </c>
      <c r="E141" s="17" t="s">
        <v>291</v>
      </c>
      <c r="F141" s="18" t="s">
        <v>114</v>
      </c>
      <c r="G141" s="17">
        <v>8200</v>
      </c>
      <c r="H141" s="18" t="s">
        <v>78</v>
      </c>
      <c r="I141" s="72">
        <v>45933</v>
      </c>
      <c r="J141" s="73">
        <v>47028</v>
      </c>
      <c r="K141" s="74">
        <f t="shared" ref="K141:K157" si="5">IF(OR(I141="",J141=""),"",IF(J141&lt;I141,0,(YEAR(J141)-YEAR(I141))*12+(MONTH(J141)-MONTH(I141))+1-IF(DAY(J141)&lt;DAY(I141),1,0)))</f>
        <v>36</v>
      </c>
      <c r="L141" s="15">
        <v>70502.207116788326</v>
      </c>
      <c r="M141" s="15">
        <v>70502.207116788326</v>
      </c>
      <c r="N141" s="15"/>
      <c r="O141" s="15"/>
      <c r="P141" s="14">
        <v>70502.207116788326</v>
      </c>
    </row>
    <row r="142" spans="1:18" x14ac:dyDescent="0.25">
      <c r="A142" s="16">
        <v>129</v>
      </c>
      <c r="B142" s="12" t="s">
        <v>52</v>
      </c>
      <c r="C142" s="13" t="s">
        <v>148</v>
      </c>
      <c r="D142" s="17" t="s">
        <v>376</v>
      </c>
      <c r="E142" s="17" t="s">
        <v>405</v>
      </c>
      <c r="F142" s="12" t="s">
        <v>81</v>
      </c>
      <c r="G142" s="12">
        <v>8200</v>
      </c>
      <c r="H142" s="47" t="s">
        <v>78</v>
      </c>
      <c r="I142" s="48">
        <v>45992</v>
      </c>
      <c r="J142" s="49">
        <v>46356</v>
      </c>
      <c r="K142" s="16">
        <f t="shared" si="5"/>
        <v>12</v>
      </c>
      <c r="L142" s="14">
        <v>55533.211643835617</v>
      </c>
      <c r="M142" s="14">
        <v>30699.320136986302</v>
      </c>
      <c r="N142" s="53">
        <v>-30000</v>
      </c>
      <c r="O142" s="54"/>
      <c r="P142" s="14">
        <v>25533.211643835617</v>
      </c>
    </row>
    <row r="143" spans="1:18" x14ac:dyDescent="0.25">
      <c r="A143" s="16">
        <v>20</v>
      </c>
      <c r="B143" s="12" t="s">
        <v>65</v>
      </c>
      <c r="C143" s="13" t="s">
        <v>315</v>
      </c>
      <c r="D143" s="17" t="s">
        <v>389</v>
      </c>
      <c r="E143" s="17" t="s">
        <v>295</v>
      </c>
      <c r="F143" s="12" t="s">
        <v>97</v>
      </c>
      <c r="G143" s="12">
        <v>8700</v>
      </c>
      <c r="H143" s="47" t="s">
        <v>78</v>
      </c>
      <c r="I143" s="48"/>
      <c r="J143" s="49"/>
      <c r="K143" s="16" t="str">
        <f t="shared" si="5"/>
        <v/>
      </c>
      <c r="L143" s="14">
        <v>30000</v>
      </c>
      <c r="M143" s="14">
        <v>-90000</v>
      </c>
      <c r="N143" s="21">
        <v>-30000</v>
      </c>
      <c r="O143" s="15"/>
      <c r="P143" s="14">
        <v>0</v>
      </c>
    </row>
    <row r="144" spans="1:18" ht="24" x14ac:dyDescent="0.25">
      <c r="A144" s="16">
        <v>21</v>
      </c>
      <c r="B144" s="12" t="s">
        <v>193</v>
      </c>
      <c r="C144" s="13" t="s">
        <v>194</v>
      </c>
      <c r="D144" s="17" t="s">
        <v>421</v>
      </c>
      <c r="E144" s="17" t="s">
        <v>497</v>
      </c>
      <c r="F144" s="12" t="s">
        <v>81</v>
      </c>
      <c r="G144" s="12">
        <v>8200</v>
      </c>
      <c r="H144" s="47" t="s">
        <v>0</v>
      </c>
      <c r="I144" s="48"/>
      <c r="J144" s="49"/>
      <c r="K144" s="16" t="str">
        <f t="shared" si="5"/>
        <v/>
      </c>
      <c r="L144" s="14">
        <v>18000</v>
      </c>
      <c r="M144" s="14">
        <v>9953.5499999999993</v>
      </c>
      <c r="N144" s="14"/>
      <c r="O144" s="14"/>
      <c r="P144" s="14">
        <v>18000</v>
      </c>
    </row>
    <row r="145" spans="1:16" ht="24" x14ac:dyDescent="0.25">
      <c r="A145" s="16">
        <v>130</v>
      </c>
      <c r="B145" s="12" t="s">
        <v>149</v>
      </c>
      <c r="C145" s="13" t="s">
        <v>150</v>
      </c>
      <c r="D145" s="17" t="s">
        <v>421</v>
      </c>
      <c r="E145" s="17" t="s">
        <v>498</v>
      </c>
      <c r="F145" s="12" t="s">
        <v>81</v>
      </c>
      <c r="G145" s="12">
        <v>8200</v>
      </c>
      <c r="H145" s="47" t="s">
        <v>78</v>
      </c>
      <c r="I145" s="48">
        <v>45940</v>
      </c>
      <c r="J145" s="49">
        <v>46304</v>
      </c>
      <c r="K145" s="16">
        <f t="shared" si="5"/>
        <v>12</v>
      </c>
      <c r="L145" s="14">
        <v>2558.5610958904108</v>
      </c>
      <c r="M145" s="14">
        <v>752.33616438356194</v>
      </c>
      <c r="N145" s="14"/>
      <c r="O145" s="14"/>
      <c r="P145" s="14">
        <v>2558.5610958904108</v>
      </c>
    </row>
    <row r="146" spans="1:16" x14ac:dyDescent="0.25">
      <c r="A146" s="16">
        <v>131</v>
      </c>
      <c r="B146" s="12" t="s">
        <v>151</v>
      </c>
      <c r="C146" s="13" t="s">
        <v>152</v>
      </c>
      <c r="D146" s="17" t="s">
        <v>393</v>
      </c>
      <c r="E146" s="13" t="s">
        <v>293</v>
      </c>
      <c r="F146" s="12" t="s">
        <v>83</v>
      </c>
      <c r="G146" s="12">
        <v>8200</v>
      </c>
      <c r="H146" s="47" t="s">
        <v>78</v>
      </c>
      <c r="I146" s="48">
        <v>45729</v>
      </c>
      <c r="J146" s="57">
        <v>46203</v>
      </c>
      <c r="K146" s="16">
        <f t="shared" si="5"/>
        <v>16</v>
      </c>
      <c r="L146" s="14">
        <v>500</v>
      </c>
      <c r="M146" s="14">
        <v>174.43835616438361</v>
      </c>
      <c r="N146" s="14"/>
      <c r="O146" s="14"/>
      <c r="P146" s="14">
        <v>500</v>
      </c>
    </row>
    <row r="147" spans="1:16" x14ac:dyDescent="0.25">
      <c r="A147" s="16">
        <v>144</v>
      </c>
      <c r="B147" s="12" t="s">
        <v>59</v>
      </c>
      <c r="C147" s="13" t="s">
        <v>339</v>
      </c>
      <c r="D147" s="17" t="s">
        <v>442</v>
      </c>
      <c r="E147" s="13" t="s">
        <v>291</v>
      </c>
      <c r="F147" s="12" t="s">
        <v>114</v>
      </c>
      <c r="G147" s="12">
        <v>8200</v>
      </c>
      <c r="H147" s="47" t="s">
        <v>0</v>
      </c>
      <c r="I147" s="48">
        <v>45944</v>
      </c>
      <c r="J147" s="57">
        <v>46203</v>
      </c>
      <c r="K147" s="16">
        <f t="shared" si="5"/>
        <v>9</v>
      </c>
      <c r="L147" s="14">
        <v>121394.15999999997</v>
      </c>
      <c r="M147" s="14">
        <v>30545.479999999981</v>
      </c>
      <c r="N147" s="21">
        <v>-15000</v>
      </c>
      <c r="O147" s="15"/>
      <c r="P147" s="14">
        <v>106394.15999999997</v>
      </c>
    </row>
    <row r="148" spans="1:16" x14ac:dyDescent="0.25">
      <c r="A148" s="16">
        <v>135</v>
      </c>
      <c r="B148" s="12" t="s">
        <v>59</v>
      </c>
      <c r="C148" s="13" t="s">
        <v>340</v>
      </c>
      <c r="D148" s="17" t="s">
        <v>442</v>
      </c>
      <c r="E148" s="13" t="s">
        <v>291</v>
      </c>
      <c r="F148" s="12" t="s">
        <v>114</v>
      </c>
      <c r="G148" s="12">
        <v>8200</v>
      </c>
      <c r="H148" s="47" t="s">
        <v>78</v>
      </c>
      <c r="I148" s="48">
        <v>45931</v>
      </c>
      <c r="J148" s="49">
        <v>46295</v>
      </c>
      <c r="K148" s="16">
        <f t="shared" si="5"/>
        <v>12</v>
      </c>
      <c r="L148" s="14">
        <v>302982.01643835625</v>
      </c>
      <c r="M148" s="14">
        <v>15439.660273972666</v>
      </c>
      <c r="N148" s="21">
        <v>-40000</v>
      </c>
      <c r="O148" s="15"/>
      <c r="P148" s="14">
        <v>262982.01643835625</v>
      </c>
    </row>
    <row r="149" spans="1:16" ht="24" x14ac:dyDescent="0.25">
      <c r="A149" s="16">
        <v>132</v>
      </c>
      <c r="B149" s="12" t="s">
        <v>59</v>
      </c>
      <c r="C149" s="13" t="s">
        <v>341</v>
      </c>
      <c r="D149" s="17" t="s">
        <v>442</v>
      </c>
      <c r="E149" s="13" t="s">
        <v>291</v>
      </c>
      <c r="F149" s="12" t="s">
        <v>114</v>
      </c>
      <c r="G149" s="12">
        <v>8200</v>
      </c>
      <c r="H149" s="47" t="s">
        <v>78</v>
      </c>
      <c r="I149" s="48">
        <v>45931</v>
      </c>
      <c r="J149" s="49">
        <v>46295</v>
      </c>
      <c r="K149" s="16">
        <f t="shared" si="5"/>
        <v>12</v>
      </c>
      <c r="L149" s="14">
        <v>2052892.6320547946</v>
      </c>
      <c r="M149" s="14">
        <v>157638.12780821929</v>
      </c>
      <c r="N149" s="21">
        <v>-270000</v>
      </c>
      <c r="O149" s="15"/>
      <c r="P149" s="14">
        <v>1782892.6320547946</v>
      </c>
    </row>
    <row r="150" spans="1:16" ht="24" x14ac:dyDescent="0.25">
      <c r="A150" s="16">
        <v>132</v>
      </c>
      <c r="B150" s="12" t="s">
        <v>59</v>
      </c>
      <c r="C150" s="13" t="s">
        <v>342</v>
      </c>
      <c r="D150" s="17" t="s">
        <v>391</v>
      </c>
      <c r="E150" s="13" t="s">
        <v>291</v>
      </c>
      <c r="F150" s="12" t="s">
        <v>77</v>
      </c>
      <c r="G150" s="12">
        <v>8200</v>
      </c>
      <c r="H150" s="47" t="s">
        <v>78</v>
      </c>
      <c r="I150" s="48">
        <v>45931</v>
      </c>
      <c r="J150" s="49">
        <v>46295</v>
      </c>
      <c r="K150" s="16">
        <f t="shared" si="5"/>
        <v>12</v>
      </c>
      <c r="L150" s="14">
        <v>4790082.8047671234</v>
      </c>
      <c r="M150" s="14">
        <v>367822.36931506917</v>
      </c>
      <c r="N150" s="21">
        <v>-630000</v>
      </c>
      <c r="O150" s="15"/>
      <c r="P150" s="14">
        <v>4160082.8047671234</v>
      </c>
    </row>
    <row r="151" spans="1:16" x14ac:dyDescent="0.25">
      <c r="A151" s="16">
        <v>146</v>
      </c>
      <c r="B151" s="12" t="s">
        <v>59</v>
      </c>
      <c r="C151" s="13" t="s">
        <v>343</v>
      </c>
      <c r="D151" s="17" t="s">
        <v>442</v>
      </c>
      <c r="E151" s="13" t="s">
        <v>291</v>
      </c>
      <c r="F151" s="12" t="s">
        <v>114</v>
      </c>
      <c r="G151" s="12">
        <v>8200</v>
      </c>
      <c r="H151" s="47" t="s">
        <v>78</v>
      </c>
      <c r="I151" s="48">
        <v>45931</v>
      </c>
      <c r="J151" s="57">
        <v>46203</v>
      </c>
      <c r="K151" s="16">
        <f t="shared" si="5"/>
        <v>9</v>
      </c>
      <c r="L151" s="14">
        <v>156240</v>
      </c>
      <c r="M151" s="14">
        <v>106051.83406593406</v>
      </c>
      <c r="N151" s="21">
        <v>-20000</v>
      </c>
      <c r="O151" s="15"/>
      <c r="P151" s="14">
        <v>136240</v>
      </c>
    </row>
    <row r="152" spans="1:16" ht="36" x14ac:dyDescent="0.25">
      <c r="A152" s="16">
        <v>133</v>
      </c>
      <c r="B152" s="12" t="s">
        <v>59</v>
      </c>
      <c r="C152" s="13" t="s">
        <v>344</v>
      </c>
      <c r="D152" s="17" t="s">
        <v>442</v>
      </c>
      <c r="E152" s="13" t="s">
        <v>291</v>
      </c>
      <c r="F152" s="12" t="s">
        <v>114</v>
      </c>
      <c r="G152" s="12">
        <v>8200</v>
      </c>
      <c r="H152" s="47" t="s">
        <v>78</v>
      </c>
      <c r="I152" s="48">
        <v>45931</v>
      </c>
      <c r="J152" s="49">
        <v>46295</v>
      </c>
      <c r="K152" s="16">
        <f t="shared" si="5"/>
        <v>12</v>
      </c>
      <c r="L152" s="14">
        <v>8257.4449972602742</v>
      </c>
      <c r="M152" s="14">
        <v>785.56010958904153</v>
      </c>
      <c r="N152" s="14"/>
      <c r="O152" s="14"/>
      <c r="P152" s="14">
        <v>8257.4449972602742</v>
      </c>
    </row>
    <row r="153" spans="1:16" ht="24" x14ac:dyDescent="0.25">
      <c r="A153" s="16">
        <v>133</v>
      </c>
      <c r="B153" s="12" t="s">
        <v>59</v>
      </c>
      <c r="C153" s="13" t="s">
        <v>345</v>
      </c>
      <c r="D153" s="17" t="s">
        <v>391</v>
      </c>
      <c r="E153" s="13" t="s">
        <v>291</v>
      </c>
      <c r="F153" s="12" t="s">
        <v>77</v>
      </c>
      <c r="G153" s="12">
        <v>8200</v>
      </c>
      <c r="H153" s="47" t="s">
        <v>78</v>
      </c>
      <c r="I153" s="48">
        <v>45931</v>
      </c>
      <c r="J153" s="49">
        <v>46295</v>
      </c>
      <c r="K153" s="16">
        <f t="shared" si="5"/>
        <v>12</v>
      </c>
      <c r="L153" s="14">
        <v>19259.371660273973</v>
      </c>
      <c r="M153" s="14">
        <v>4680.3335890410981</v>
      </c>
      <c r="N153" s="14"/>
      <c r="O153" s="14"/>
      <c r="P153" s="14">
        <v>19259.371660273973</v>
      </c>
    </row>
    <row r="154" spans="1:16" x14ac:dyDescent="0.25">
      <c r="A154" s="16">
        <v>137</v>
      </c>
      <c r="B154" s="12" t="s">
        <v>59</v>
      </c>
      <c r="C154" s="13" t="s">
        <v>346</v>
      </c>
      <c r="D154" s="17" t="s">
        <v>442</v>
      </c>
      <c r="E154" s="13" t="s">
        <v>291</v>
      </c>
      <c r="F154" s="12" t="s">
        <v>114</v>
      </c>
      <c r="G154" s="12">
        <v>8200</v>
      </c>
      <c r="H154" s="47" t="s">
        <v>78</v>
      </c>
      <c r="I154" s="48">
        <v>45931</v>
      </c>
      <c r="J154" s="49">
        <v>46295</v>
      </c>
      <c r="K154" s="16">
        <f t="shared" si="5"/>
        <v>12</v>
      </c>
      <c r="L154" s="14">
        <v>29236.719780821917</v>
      </c>
      <c r="M154" s="14">
        <v>16143.258767123287</v>
      </c>
      <c r="N154" s="14"/>
      <c r="O154" s="14"/>
      <c r="P154" s="14">
        <v>29236.719780821917</v>
      </c>
    </row>
    <row r="155" spans="1:16" ht="24" x14ac:dyDescent="0.25">
      <c r="A155" s="16">
        <v>134</v>
      </c>
      <c r="B155" s="12" t="s">
        <v>59</v>
      </c>
      <c r="C155" s="13" t="s">
        <v>347</v>
      </c>
      <c r="D155" s="17" t="s">
        <v>442</v>
      </c>
      <c r="E155" s="13" t="s">
        <v>291</v>
      </c>
      <c r="F155" s="12" t="s">
        <v>114</v>
      </c>
      <c r="G155" s="12">
        <v>8200</v>
      </c>
      <c r="H155" s="47" t="s">
        <v>78</v>
      </c>
      <c r="I155" s="48">
        <v>45931</v>
      </c>
      <c r="J155" s="49">
        <v>46295</v>
      </c>
      <c r="K155" s="16">
        <f t="shared" si="5"/>
        <v>12</v>
      </c>
      <c r="L155" s="14">
        <v>43215.109247945191</v>
      </c>
      <c r="M155" s="14">
        <v>2202.2320424657446</v>
      </c>
      <c r="N155" s="14"/>
      <c r="O155" s="14"/>
      <c r="P155" s="14">
        <v>43215.109247945191</v>
      </c>
    </row>
    <row r="156" spans="1:16" x14ac:dyDescent="0.25">
      <c r="A156" s="16">
        <v>134</v>
      </c>
      <c r="B156" s="12" t="s">
        <v>59</v>
      </c>
      <c r="C156" s="13" t="s">
        <v>348</v>
      </c>
      <c r="D156" s="17" t="s">
        <v>391</v>
      </c>
      <c r="E156" s="13" t="s">
        <v>291</v>
      </c>
      <c r="F156" s="12" t="s">
        <v>77</v>
      </c>
      <c r="G156" s="12">
        <v>8200</v>
      </c>
      <c r="H156" s="47" t="s">
        <v>78</v>
      </c>
      <c r="I156" s="48">
        <v>45931</v>
      </c>
      <c r="J156" s="49">
        <v>46295</v>
      </c>
      <c r="K156" s="16">
        <f t="shared" si="5"/>
        <v>12</v>
      </c>
      <c r="L156" s="14">
        <v>100835.24788082189</v>
      </c>
      <c r="M156" s="14">
        <v>5138.4299630136811</v>
      </c>
      <c r="N156" s="21">
        <v>-10000</v>
      </c>
      <c r="O156" s="15"/>
      <c r="P156" s="14">
        <v>90835.247880821888</v>
      </c>
    </row>
    <row r="157" spans="1:16" x14ac:dyDescent="0.25">
      <c r="A157" s="16">
        <v>136</v>
      </c>
      <c r="B157" s="12" t="s">
        <v>59</v>
      </c>
      <c r="C157" s="13" t="s">
        <v>349</v>
      </c>
      <c r="D157" s="17" t="s">
        <v>442</v>
      </c>
      <c r="E157" s="13" t="s">
        <v>291</v>
      </c>
      <c r="F157" s="12" t="s">
        <v>114</v>
      </c>
      <c r="G157" s="12">
        <v>8200</v>
      </c>
      <c r="H157" s="47" t="s">
        <v>78</v>
      </c>
      <c r="I157" s="48"/>
      <c r="J157" s="49">
        <v>45961</v>
      </c>
      <c r="K157" s="16" t="str">
        <f t="shared" si="5"/>
        <v/>
      </c>
      <c r="L157" s="14">
        <v>11134.462684931506</v>
      </c>
      <c r="M157" s="14">
        <v>4125.1326027397254</v>
      </c>
      <c r="N157" s="14"/>
      <c r="O157" s="14"/>
      <c r="P157" s="14">
        <v>11134.462684931506</v>
      </c>
    </row>
    <row r="158" spans="1:16" ht="24" x14ac:dyDescent="0.25">
      <c r="A158" s="16" t="s">
        <v>381</v>
      </c>
      <c r="B158" s="17" t="s">
        <v>59</v>
      </c>
      <c r="C158" s="17" t="s">
        <v>499</v>
      </c>
      <c r="D158" s="17" t="s">
        <v>442</v>
      </c>
      <c r="E158" s="17" t="s">
        <v>291</v>
      </c>
      <c r="F158" s="18" t="s">
        <v>114</v>
      </c>
      <c r="G158" s="17">
        <v>8200</v>
      </c>
      <c r="H158" s="18" t="s">
        <v>78</v>
      </c>
      <c r="I158" s="17"/>
      <c r="J158" s="19"/>
      <c r="K158" s="18" t="str">
        <f>IF(OR(I158="",J158=""),"Monthly",IF(J158&lt;I158,0,(YEAR(J158)-YEAR(I158))*12+(MONTH(J158)-MONTH(I158))+1-IF(DAY(J158)&lt;DAY(I158),1,0)))</f>
        <v>Monthly</v>
      </c>
      <c r="L158" s="15">
        <v>243750.00000000003</v>
      </c>
      <c r="M158" s="15">
        <v>243750.00000000003</v>
      </c>
      <c r="N158" s="21">
        <v>-243750.00000000003</v>
      </c>
      <c r="O158" s="15"/>
      <c r="P158" s="14">
        <v>0</v>
      </c>
    </row>
    <row r="159" spans="1:16" ht="24" x14ac:dyDescent="0.25">
      <c r="A159" s="16">
        <v>145</v>
      </c>
      <c r="B159" s="12" t="s">
        <v>59</v>
      </c>
      <c r="C159" s="13" t="s">
        <v>500</v>
      </c>
      <c r="D159" s="17" t="s">
        <v>442</v>
      </c>
      <c r="E159" s="13" t="s">
        <v>291</v>
      </c>
      <c r="F159" s="12" t="s">
        <v>114</v>
      </c>
      <c r="G159" s="12">
        <v>8200</v>
      </c>
      <c r="H159" s="47" t="s">
        <v>78</v>
      </c>
      <c r="I159" s="48">
        <v>45944</v>
      </c>
      <c r="J159" s="62">
        <v>46203</v>
      </c>
      <c r="K159" s="16">
        <f>IF(OR(I159="",J159=""),"",IF(J159&lt;I159,0,(YEAR(J159)-YEAR(I159))*12+(MONTH(J159)-MONTH(I159))+1-IF(DAY(J159)&lt;DAY(I159),1,0)))</f>
        <v>9</v>
      </c>
      <c r="L159" s="24">
        <v>37543.384615384624</v>
      </c>
      <c r="M159" s="24">
        <v>37543.384615384624</v>
      </c>
      <c r="N159" s="24"/>
      <c r="O159" s="24"/>
      <c r="P159" s="14">
        <v>37543.384615384624</v>
      </c>
    </row>
    <row r="160" spans="1:16" ht="24" x14ac:dyDescent="0.25">
      <c r="A160" s="16" t="s">
        <v>381</v>
      </c>
      <c r="B160" s="17" t="s">
        <v>59</v>
      </c>
      <c r="C160" s="17" t="s">
        <v>501</v>
      </c>
      <c r="D160" s="17" t="s">
        <v>442</v>
      </c>
      <c r="E160" s="17" t="s">
        <v>291</v>
      </c>
      <c r="F160" s="18" t="s">
        <v>114</v>
      </c>
      <c r="G160" s="17">
        <v>8200</v>
      </c>
      <c r="H160" s="18" t="s">
        <v>78</v>
      </c>
      <c r="I160" s="17"/>
      <c r="J160" s="19"/>
      <c r="K160" s="18" t="str">
        <f>IF(OR(I160="",J160=""),"Monthly",IF(J160&lt;I160,0,(YEAR(J160)-YEAR(I160))*12+(MONTH(J160)-MONTH(I160))+1-IF(DAY(J160)&lt;DAY(I160),1,0)))</f>
        <v>Monthly</v>
      </c>
      <c r="L160" s="15">
        <v>93340.799999999988</v>
      </c>
      <c r="M160" s="15">
        <v>93340.799999999988</v>
      </c>
      <c r="N160" s="21">
        <v>-12000</v>
      </c>
      <c r="O160" s="15"/>
      <c r="P160" s="14">
        <v>81340.799999999988</v>
      </c>
    </row>
    <row r="161" spans="1:16" ht="24" x14ac:dyDescent="0.25">
      <c r="A161" s="16">
        <v>147</v>
      </c>
      <c r="B161" s="12" t="s">
        <v>153</v>
      </c>
      <c r="C161" s="13" t="s">
        <v>154</v>
      </c>
      <c r="D161" s="17" t="s">
        <v>391</v>
      </c>
      <c r="E161" s="17"/>
      <c r="F161" s="12" t="s">
        <v>81</v>
      </c>
      <c r="G161" s="12">
        <v>8200</v>
      </c>
      <c r="H161" s="47" t="s">
        <v>78</v>
      </c>
      <c r="I161" s="48">
        <v>45866</v>
      </c>
      <c r="J161" s="49">
        <v>46230</v>
      </c>
      <c r="K161" s="16">
        <f>IF(OR(I161="",J161=""),"",IF(J161&lt;I161,0,(YEAR(J161)-YEAR(I161))*12+(MONTH(J161)-MONTH(I161))+1-IF(DAY(J161)&lt;DAY(I161),1,0)))</f>
        <v>12</v>
      </c>
      <c r="L161" s="14">
        <v>5128.2684931506847</v>
      </c>
      <c r="M161" s="14">
        <v>4548.6849315068494</v>
      </c>
      <c r="N161" s="14"/>
      <c r="O161" s="14"/>
      <c r="P161" s="14">
        <v>5128.2684931506847</v>
      </c>
    </row>
    <row r="162" spans="1:16" x14ac:dyDescent="0.25">
      <c r="A162" s="16">
        <v>207</v>
      </c>
      <c r="B162" s="12" t="s">
        <v>155</v>
      </c>
      <c r="C162" s="13" t="s">
        <v>156</v>
      </c>
      <c r="D162" s="17" t="s">
        <v>377</v>
      </c>
      <c r="E162" s="13" t="s">
        <v>291</v>
      </c>
      <c r="F162" s="12" t="s">
        <v>114</v>
      </c>
      <c r="G162" s="12">
        <v>8200</v>
      </c>
      <c r="H162" s="47" t="s">
        <v>78</v>
      </c>
      <c r="I162" s="48">
        <v>45931</v>
      </c>
      <c r="J162" s="49">
        <v>46295</v>
      </c>
      <c r="K162" s="16">
        <f>IF(OR(I162="",J162=""),"",IF(J162&lt;I162,0,(YEAR(J162)-YEAR(I162))*12+(MONTH(J162)-MONTH(I162))+1-IF(DAY(J162)&lt;DAY(I162),1,0)))</f>
        <v>12</v>
      </c>
      <c r="L162" s="14">
        <v>83410.758047945215</v>
      </c>
      <c r="M162" s="14">
        <v>23159.715582191791</v>
      </c>
      <c r="N162" s="14"/>
      <c r="O162" s="14"/>
      <c r="P162" s="14">
        <v>83410.758047945215</v>
      </c>
    </row>
    <row r="163" spans="1:16" ht="24" x14ac:dyDescent="0.25">
      <c r="A163" s="16">
        <v>248</v>
      </c>
      <c r="B163" s="12" t="s">
        <v>353</v>
      </c>
      <c r="C163" s="12"/>
      <c r="D163" s="12"/>
      <c r="E163" s="12"/>
      <c r="F163" s="12" t="s">
        <v>114</v>
      </c>
      <c r="G163" s="12">
        <v>8300</v>
      </c>
      <c r="H163" s="47" t="s">
        <v>319</v>
      </c>
      <c r="I163" s="12"/>
      <c r="J163" s="66"/>
      <c r="K163" s="16" t="str">
        <f t="shared" ref="K163:K168" si="6">IF(OR(I163="",J163=""),"Monthly",IF(J163&lt;I163,0,(YEAR(J163)-YEAR(I163))*12+(MONTH(J163)-MONTH(I163))+1-IF(DAY(J163)&lt;DAY(I163),1,0)))</f>
        <v>Monthly</v>
      </c>
      <c r="L163" s="15">
        <v>1200</v>
      </c>
      <c r="M163" s="15">
        <v>1113.08</v>
      </c>
      <c r="N163" s="15"/>
      <c r="O163" s="15"/>
      <c r="P163" s="14">
        <v>1200</v>
      </c>
    </row>
    <row r="164" spans="1:16" ht="24" x14ac:dyDescent="0.25">
      <c r="A164" s="16">
        <v>249</v>
      </c>
      <c r="B164" s="12" t="s">
        <v>353</v>
      </c>
      <c r="C164" s="12"/>
      <c r="D164" s="12"/>
      <c r="E164" s="12"/>
      <c r="F164" s="12" t="s">
        <v>229</v>
      </c>
      <c r="G164" s="12">
        <v>8300</v>
      </c>
      <c r="H164" s="47" t="s">
        <v>319</v>
      </c>
      <c r="I164" s="12"/>
      <c r="J164" s="66"/>
      <c r="K164" s="16" t="str">
        <f t="shared" si="6"/>
        <v>Monthly</v>
      </c>
      <c r="L164" s="15">
        <v>1200</v>
      </c>
      <c r="M164" s="15">
        <v>1157.22</v>
      </c>
      <c r="N164" s="15"/>
      <c r="O164" s="15"/>
      <c r="P164" s="14">
        <v>1200</v>
      </c>
    </row>
    <row r="165" spans="1:16" ht="24" x14ac:dyDescent="0.25">
      <c r="A165" s="16">
        <v>241</v>
      </c>
      <c r="B165" s="12" t="s">
        <v>353</v>
      </c>
      <c r="C165" s="12"/>
      <c r="D165" s="12"/>
      <c r="E165" s="12"/>
      <c r="F165" s="12" t="s">
        <v>97</v>
      </c>
      <c r="G165" s="12">
        <v>8300</v>
      </c>
      <c r="H165" s="47" t="s">
        <v>319</v>
      </c>
      <c r="I165" s="12"/>
      <c r="J165" s="66"/>
      <c r="K165" s="16" t="str">
        <f t="shared" si="6"/>
        <v>Monthly</v>
      </c>
      <c r="L165" s="15">
        <v>6600</v>
      </c>
      <c r="M165" s="15">
        <v>2434.9699999999993</v>
      </c>
      <c r="N165" s="15"/>
      <c r="O165" s="15"/>
      <c r="P165" s="14">
        <v>6600</v>
      </c>
    </row>
    <row r="166" spans="1:16" ht="24" x14ac:dyDescent="0.25">
      <c r="A166" s="16">
        <v>244</v>
      </c>
      <c r="B166" s="12" t="s">
        <v>353</v>
      </c>
      <c r="C166" s="12"/>
      <c r="D166" s="12"/>
      <c r="E166" s="12"/>
      <c r="F166" s="12" t="s">
        <v>89</v>
      </c>
      <c r="G166" s="12">
        <v>8300</v>
      </c>
      <c r="H166" s="47" t="s">
        <v>319</v>
      </c>
      <c r="I166" s="12"/>
      <c r="J166" s="66"/>
      <c r="K166" s="16" t="str">
        <f t="shared" si="6"/>
        <v>Monthly</v>
      </c>
      <c r="L166" s="15">
        <v>6600</v>
      </c>
      <c r="M166" s="15">
        <v>3362.02</v>
      </c>
      <c r="N166" s="15"/>
      <c r="O166" s="15"/>
      <c r="P166" s="14">
        <v>6600</v>
      </c>
    </row>
    <row r="167" spans="1:16" ht="24" x14ac:dyDescent="0.25">
      <c r="A167" s="16">
        <v>245</v>
      </c>
      <c r="B167" s="12" t="s">
        <v>353</v>
      </c>
      <c r="C167" s="12"/>
      <c r="D167" s="12"/>
      <c r="E167" s="12"/>
      <c r="F167" s="12" t="s">
        <v>354</v>
      </c>
      <c r="G167" s="12">
        <v>8300</v>
      </c>
      <c r="H167" s="47" t="s">
        <v>319</v>
      </c>
      <c r="I167" s="12"/>
      <c r="J167" s="66"/>
      <c r="K167" s="16" t="str">
        <f t="shared" si="6"/>
        <v>Monthly</v>
      </c>
      <c r="L167" s="15">
        <v>9600</v>
      </c>
      <c r="M167" s="15">
        <v>3135.6099999999997</v>
      </c>
      <c r="N167" s="15"/>
      <c r="O167" s="15"/>
      <c r="P167" s="14">
        <v>9600</v>
      </c>
    </row>
    <row r="168" spans="1:16" ht="24" x14ac:dyDescent="0.25">
      <c r="A168" s="16">
        <v>246</v>
      </c>
      <c r="B168" s="12" t="s">
        <v>353</v>
      </c>
      <c r="C168" s="12"/>
      <c r="D168" s="12"/>
      <c r="E168" s="12"/>
      <c r="F168" s="12" t="s">
        <v>83</v>
      </c>
      <c r="G168" s="12">
        <v>8300</v>
      </c>
      <c r="H168" s="47" t="s">
        <v>319</v>
      </c>
      <c r="I168" s="12"/>
      <c r="J168" s="66"/>
      <c r="K168" s="16" t="str">
        <f t="shared" si="6"/>
        <v>Monthly</v>
      </c>
      <c r="L168" s="15">
        <v>25000</v>
      </c>
      <c r="M168" s="15">
        <v>23564.42</v>
      </c>
      <c r="N168" s="15"/>
      <c r="O168" s="15"/>
      <c r="P168" s="14">
        <v>25000</v>
      </c>
    </row>
    <row r="169" spans="1:16" x14ac:dyDescent="0.25">
      <c r="A169" s="16">
        <v>149</v>
      </c>
      <c r="B169" s="12" t="s">
        <v>333</v>
      </c>
      <c r="C169" s="13"/>
      <c r="D169" s="13" t="s">
        <v>419</v>
      </c>
      <c r="E169" s="13" t="s">
        <v>412</v>
      </c>
      <c r="F169" s="12" t="s">
        <v>81</v>
      </c>
      <c r="G169" s="12">
        <v>8200</v>
      </c>
      <c r="H169" s="47" t="s">
        <v>78</v>
      </c>
      <c r="I169" s="48">
        <v>45906</v>
      </c>
      <c r="J169" s="49">
        <v>46270</v>
      </c>
      <c r="K169" s="16">
        <f>IF(OR(I169="",J169=""),"",IF(J169&lt;I169,0,(YEAR(J169)-YEAR(I169))*12+(MONTH(J169)-MONTH(I169))+1-IF(DAY(J169)&lt;DAY(I169),1,0)))</f>
        <v>12</v>
      </c>
      <c r="L169" s="14">
        <v>20986.467671232876</v>
      </c>
      <c r="M169" s="14">
        <v>3230.7854794520572</v>
      </c>
      <c r="N169" s="14"/>
      <c r="O169" s="14"/>
      <c r="P169" s="14">
        <v>20986.467671232876</v>
      </c>
    </row>
    <row r="170" spans="1:16" ht="24" x14ac:dyDescent="0.25">
      <c r="A170" s="16">
        <v>356</v>
      </c>
      <c r="B170" s="12" t="s">
        <v>306</v>
      </c>
      <c r="C170" s="13"/>
      <c r="D170" s="17" t="s">
        <v>376</v>
      </c>
      <c r="E170" s="17"/>
      <c r="F170" s="12" t="s">
        <v>89</v>
      </c>
      <c r="G170" s="12">
        <v>8700</v>
      </c>
      <c r="H170" s="47" t="s">
        <v>0</v>
      </c>
      <c r="I170" s="13"/>
      <c r="J170" s="63"/>
      <c r="K170" s="22" t="str">
        <f>IF(OR(I170="",J170=""),"Monthly",IF(J170&lt;I170,0,(YEAR(J170)-YEAR(I170))*12+(MONTH(J170)-MONTH(I170))+1-IF(DAY(J170)&lt;DAY(I170),1,0)))</f>
        <v>Monthly</v>
      </c>
      <c r="L170" s="15">
        <v>42504.462</v>
      </c>
      <c r="M170" s="15">
        <v>42504.462</v>
      </c>
      <c r="N170" s="15"/>
      <c r="O170" s="15"/>
      <c r="P170" s="14">
        <v>42504.462</v>
      </c>
    </row>
    <row r="171" spans="1:16" x14ac:dyDescent="0.25">
      <c r="A171" s="16" t="s">
        <v>381</v>
      </c>
      <c r="B171" s="17" t="s">
        <v>275</v>
      </c>
      <c r="C171" s="17"/>
      <c r="D171" s="17" t="s">
        <v>376</v>
      </c>
      <c r="E171" s="17" t="s">
        <v>276</v>
      </c>
      <c r="F171" s="18" t="s">
        <v>81</v>
      </c>
      <c r="G171" s="17">
        <v>8200</v>
      </c>
      <c r="H171" s="18"/>
      <c r="I171" s="17"/>
      <c r="J171" s="19"/>
      <c r="K171" s="18"/>
      <c r="L171" s="15">
        <v>1377</v>
      </c>
      <c r="M171" s="15">
        <v>1377</v>
      </c>
      <c r="N171" s="15"/>
      <c r="O171" s="15"/>
      <c r="P171" s="14">
        <v>1377</v>
      </c>
    </row>
    <row r="172" spans="1:16" ht="36" x14ac:dyDescent="0.25">
      <c r="A172" s="16">
        <v>150</v>
      </c>
      <c r="B172" s="12" t="s">
        <v>237</v>
      </c>
      <c r="C172" s="13" t="s">
        <v>238</v>
      </c>
      <c r="D172" s="17" t="s">
        <v>391</v>
      </c>
      <c r="E172" s="13" t="s">
        <v>412</v>
      </c>
      <c r="F172" s="12" t="s">
        <v>77</v>
      </c>
      <c r="G172" s="12">
        <v>8200</v>
      </c>
      <c r="H172" s="47" t="s">
        <v>78</v>
      </c>
      <c r="I172" s="48">
        <v>45839</v>
      </c>
      <c r="J172" s="57">
        <v>46203</v>
      </c>
      <c r="K172" s="16">
        <f>IF(OR(I172="",J172=""),"",IF(J172&lt;I172,0,(YEAR(J172)-YEAR(I172))*12+(MONTH(J172)-MONTH(I172))+1-IF(DAY(J172)&lt;DAY(I172),1,0)))</f>
        <v>12</v>
      </c>
      <c r="L172" s="14">
        <v>1000</v>
      </c>
      <c r="M172" s="14">
        <v>-117.05999999999995</v>
      </c>
      <c r="N172" s="14"/>
      <c r="O172" s="14"/>
      <c r="P172" s="14">
        <v>1000</v>
      </c>
    </row>
    <row r="173" spans="1:16" ht="24" x14ac:dyDescent="0.25">
      <c r="A173" s="16">
        <v>151</v>
      </c>
      <c r="B173" s="12" t="s">
        <v>239</v>
      </c>
      <c r="C173" s="13" t="s">
        <v>240</v>
      </c>
      <c r="D173" s="17" t="s">
        <v>442</v>
      </c>
      <c r="E173" s="13" t="s">
        <v>291</v>
      </c>
      <c r="F173" s="12" t="s">
        <v>114</v>
      </c>
      <c r="G173" s="12">
        <v>8200</v>
      </c>
      <c r="H173" s="47" t="s">
        <v>78</v>
      </c>
      <c r="I173" s="48">
        <v>46009</v>
      </c>
      <c r="J173" s="49">
        <v>47104</v>
      </c>
      <c r="K173" s="16">
        <f>IF(OR(I173="",J173=""),"",IF(J173&lt;I173,0,(YEAR(J173)-YEAR(I173))*12+(MONTH(J173)-MONTH(I173))+1-IF(DAY(J173)&lt;DAY(I173),1,0)))</f>
        <v>36</v>
      </c>
      <c r="L173" s="14">
        <v>101788.04288321164</v>
      </c>
      <c r="M173" s="14">
        <v>-5119.8618613138678</v>
      </c>
      <c r="N173" s="14"/>
      <c r="O173" s="14"/>
      <c r="P173" s="14">
        <v>101788.04288321164</v>
      </c>
    </row>
    <row r="174" spans="1:16" ht="24" x14ac:dyDescent="0.25">
      <c r="A174" s="16" t="s">
        <v>381</v>
      </c>
      <c r="B174" s="17" t="s">
        <v>289</v>
      </c>
      <c r="C174" s="17" t="s">
        <v>502</v>
      </c>
      <c r="D174" s="17" t="s">
        <v>377</v>
      </c>
      <c r="E174" s="17" t="s">
        <v>290</v>
      </c>
      <c r="F174" s="18" t="s">
        <v>81</v>
      </c>
      <c r="G174" s="17">
        <v>8200</v>
      </c>
      <c r="H174" s="18"/>
      <c r="I174" s="17"/>
      <c r="J174" s="19"/>
      <c r="K174" s="18" t="str">
        <f>IF(OR(I174="",J174=""),"Monthly",IF(J174&lt;I174,0,(YEAR(J174)-YEAR(I174))*12+(MONTH(J174)-MONTH(I174))+1-IF(DAY(J174)&lt;DAY(I174),1,0)))</f>
        <v>Monthly</v>
      </c>
      <c r="L174" s="15">
        <v>2000</v>
      </c>
      <c r="M174" s="15">
        <v>2000</v>
      </c>
      <c r="N174" s="15"/>
      <c r="O174" s="15"/>
      <c r="P174" s="14">
        <v>2000</v>
      </c>
    </row>
    <row r="175" spans="1:16" x14ac:dyDescent="0.25">
      <c r="A175" s="16">
        <v>152</v>
      </c>
      <c r="B175" s="12" t="s">
        <v>330</v>
      </c>
      <c r="C175" s="13" t="s">
        <v>331</v>
      </c>
      <c r="D175" s="13" t="s">
        <v>419</v>
      </c>
      <c r="E175" s="13" t="s">
        <v>412</v>
      </c>
      <c r="F175" s="12" t="s">
        <v>81</v>
      </c>
      <c r="G175" s="12">
        <v>8200</v>
      </c>
      <c r="H175" s="47" t="s">
        <v>78</v>
      </c>
      <c r="I175" s="48">
        <v>45992</v>
      </c>
      <c r="J175" s="49">
        <v>46538</v>
      </c>
      <c r="K175" s="16">
        <f>IF(OR(I175="",J175=""),"",IF(J175&lt;I175,0,(YEAR(J175)-YEAR(I175))*12+(MONTH(J175)-MONTH(I175))+1-IF(DAY(J175)&lt;DAY(I175),1,0)))</f>
        <v>18</v>
      </c>
      <c r="L175" s="14">
        <v>287797.69744058501</v>
      </c>
      <c r="M175" s="14">
        <v>-66589.889872029191</v>
      </c>
      <c r="N175" s="14"/>
      <c r="O175" s="14"/>
      <c r="P175" s="14">
        <v>287797.69744058501</v>
      </c>
    </row>
    <row r="176" spans="1:16" ht="24" x14ac:dyDescent="0.25">
      <c r="A176" s="16">
        <v>153</v>
      </c>
      <c r="B176" s="12" t="s">
        <v>157</v>
      </c>
      <c r="C176" s="13" t="s">
        <v>158</v>
      </c>
      <c r="D176" s="17" t="s">
        <v>393</v>
      </c>
      <c r="E176" s="13" t="s">
        <v>293</v>
      </c>
      <c r="F176" s="12" t="s">
        <v>83</v>
      </c>
      <c r="G176" s="12">
        <v>8200</v>
      </c>
      <c r="H176" s="47" t="s">
        <v>78</v>
      </c>
      <c r="I176" s="48">
        <v>46009</v>
      </c>
      <c r="J176" s="49">
        <v>46373</v>
      </c>
      <c r="K176" s="16">
        <f>IF(OR(I176="",J176=""),"",IF(J176&lt;I176,0,(YEAR(J176)-YEAR(I176))*12+(MONTH(J176)-MONTH(I176))+1-IF(DAY(J176)&lt;DAY(I176),1,0)))</f>
        <v>12</v>
      </c>
      <c r="L176" s="14">
        <v>83640.900273972598</v>
      </c>
      <c r="M176" s="14">
        <v>18154.776547945206</v>
      </c>
      <c r="N176" s="14"/>
      <c r="O176" s="14"/>
      <c r="P176" s="14">
        <v>83640.900273972598</v>
      </c>
    </row>
    <row r="177" spans="1:79" ht="60" x14ac:dyDescent="0.25">
      <c r="A177" s="22" t="s">
        <v>381</v>
      </c>
      <c r="B177" s="17" t="s">
        <v>503</v>
      </c>
      <c r="C177" s="17" t="s">
        <v>504</v>
      </c>
      <c r="D177" s="17" t="s">
        <v>391</v>
      </c>
      <c r="E177" s="69" t="s">
        <v>402</v>
      </c>
      <c r="F177" s="17" t="s">
        <v>77</v>
      </c>
      <c r="G177" s="17">
        <v>8200</v>
      </c>
      <c r="H177" s="18" t="s">
        <v>0</v>
      </c>
      <c r="I177" s="17"/>
      <c r="J177" s="19"/>
      <c r="K177" s="18" t="str">
        <f>IF(OR(I177="",J177=""),"Monthly",IF(J177&lt;I177,0,(YEAR(J177)-YEAR(I177))*12+(MONTH(J177)-MONTH(I177))+1-IF(DAY(J177)&lt;DAY(I177),1,0)))</f>
        <v>Monthly</v>
      </c>
      <c r="L177" s="70">
        <v>99999.999999999985</v>
      </c>
      <c r="M177" s="70">
        <v>99999.999999999985</v>
      </c>
      <c r="N177" s="70"/>
      <c r="O177" s="70"/>
      <c r="P177" s="14">
        <v>99999.999999999985</v>
      </c>
    </row>
    <row r="178" spans="1:79" ht="24" x14ac:dyDescent="0.25">
      <c r="A178" s="16">
        <v>158</v>
      </c>
      <c r="B178" s="12" t="s">
        <v>23</v>
      </c>
      <c r="C178" s="13" t="s">
        <v>321</v>
      </c>
      <c r="D178" s="13" t="s">
        <v>419</v>
      </c>
      <c r="E178" s="13" t="s">
        <v>475</v>
      </c>
      <c r="F178" s="12" t="s">
        <v>81</v>
      </c>
      <c r="G178" s="12">
        <v>8200</v>
      </c>
      <c r="H178" s="47" t="s">
        <v>78</v>
      </c>
      <c r="I178" s="48">
        <v>46099</v>
      </c>
      <c r="J178" s="49">
        <v>46829</v>
      </c>
      <c r="K178" s="16">
        <f>IF(OR(I178="",J178=""),"",IF(J178&lt;I178,0,(YEAR(J178)-YEAR(I178))*12+(MONTH(J178)-MONTH(I178))+1-IF(DAY(J178)&lt;DAY(I178),1,0)))</f>
        <v>24</v>
      </c>
      <c r="L178" s="15">
        <v>496983.20109439129</v>
      </c>
      <c r="M178" s="14">
        <v>46815.430916552665</v>
      </c>
      <c r="N178" s="14"/>
      <c r="O178" s="21"/>
      <c r="P178" s="14">
        <v>496983.20109439129</v>
      </c>
    </row>
    <row r="179" spans="1:79" ht="24" x14ac:dyDescent="0.25">
      <c r="A179" s="16">
        <v>157</v>
      </c>
      <c r="B179" s="12" t="s">
        <v>23</v>
      </c>
      <c r="C179" s="13" t="s">
        <v>322</v>
      </c>
      <c r="D179" s="13" t="s">
        <v>419</v>
      </c>
      <c r="E179" s="13" t="s">
        <v>475</v>
      </c>
      <c r="F179" s="12" t="s">
        <v>81</v>
      </c>
      <c r="G179" s="12">
        <v>8200</v>
      </c>
      <c r="H179" s="47" t="s">
        <v>78</v>
      </c>
      <c r="I179" s="48">
        <v>46065</v>
      </c>
      <c r="J179" s="49">
        <v>46429</v>
      </c>
      <c r="K179" s="16">
        <f>IF(OR(I179="",J179=""),"",IF(J179&lt;I179,0,(YEAR(J179)-YEAR(I179))*12+(MONTH(J179)-MONTH(I179))+1-IF(DAY(J179)&lt;DAY(I179),1,0)))</f>
        <v>12</v>
      </c>
      <c r="L179" s="15">
        <v>369965.69178082189</v>
      </c>
      <c r="M179" s="14">
        <v>1763.7410958904075</v>
      </c>
      <c r="N179" s="14"/>
      <c r="O179" s="14"/>
      <c r="P179" s="14">
        <v>369965.69178082189</v>
      </c>
    </row>
    <row r="180" spans="1:79" ht="24" x14ac:dyDescent="0.25">
      <c r="A180" s="16">
        <v>155</v>
      </c>
      <c r="B180" s="12" t="s">
        <v>23</v>
      </c>
      <c r="C180" s="13" t="s">
        <v>323</v>
      </c>
      <c r="D180" s="13" t="s">
        <v>419</v>
      </c>
      <c r="E180" s="13" t="s">
        <v>475</v>
      </c>
      <c r="F180" s="12" t="s">
        <v>81</v>
      </c>
      <c r="G180" s="12">
        <v>8200</v>
      </c>
      <c r="H180" s="47" t="s">
        <v>78</v>
      </c>
      <c r="I180" s="48">
        <v>45987</v>
      </c>
      <c r="J180" s="49">
        <v>46716</v>
      </c>
      <c r="K180" s="16">
        <f>IF(OR(I180="",J180=""),"",IF(J180&lt;I180,0,(YEAR(J180)-YEAR(I180))*12+(MONTH(J180)-MONTH(I180))+1-IF(DAY(J180)&lt;DAY(I180),1,0)))</f>
        <v>24</v>
      </c>
      <c r="L180" s="15">
        <v>115745.09495662097</v>
      </c>
      <c r="M180" s="14">
        <v>-8316.6896236284811</v>
      </c>
      <c r="N180" s="14"/>
      <c r="O180" s="14"/>
      <c r="P180" s="14">
        <v>115745.09495662097</v>
      </c>
    </row>
    <row r="181" spans="1:79" ht="24" x14ac:dyDescent="0.25">
      <c r="A181" s="16">
        <v>156</v>
      </c>
      <c r="B181" s="12" t="s">
        <v>23</v>
      </c>
      <c r="C181" s="13" t="s">
        <v>505</v>
      </c>
      <c r="D181" s="13" t="s">
        <v>419</v>
      </c>
      <c r="E181" s="13" t="s">
        <v>475</v>
      </c>
      <c r="F181" s="12" t="s">
        <v>81</v>
      </c>
      <c r="G181" s="12">
        <v>8200</v>
      </c>
      <c r="H181" s="47" t="s">
        <v>78</v>
      </c>
      <c r="I181" s="48">
        <v>46023</v>
      </c>
      <c r="J181" s="62">
        <v>46387</v>
      </c>
      <c r="K181" s="16">
        <f>IF(OR(I181="",J181=""),"",IF(J181&lt;I181,0,(YEAR(J181)-YEAR(I181))*12+(MONTH(J181)-MONTH(I181))+1-IF(DAY(J181)&lt;DAY(I181),1,0)))</f>
        <v>12</v>
      </c>
      <c r="L181" s="15">
        <v>49803.835616438366</v>
      </c>
      <c r="M181" s="14">
        <v>658.53547945207538</v>
      </c>
      <c r="N181" s="14"/>
      <c r="O181" s="21">
        <v>-24798</v>
      </c>
      <c r="P181" s="14">
        <v>25005.835616438366</v>
      </c>
    </row>
    <row r="182" spans="1:79" ht="24" x14ac:dyDescent="0.25">
      <c r="A182" s="16" t="s">
        <v>506</v>
      </c>
      <c r="B182" s="12" t="s">
        <v>23</v>
      </c>
      <c r="C182" s="13" t="s">
        <v>324</v>
      </c>
      <c r="D182" s="56" t="s">
        <v>507</v>
      </c>
      <c r="E182" s="13" t="s">
        <v>475</v>
      </c>
      <c r="F182" s="12" t="s">
        <v>251</v>
      </c>
      <c r="G182" s="12">
        <v>8200</v>
      </c>
      <c r="H182" s="47" t="s">
        <v>78</v>
      </c>
      <c r="I182" s="48"/>
      <c r="J182" s="49"/>
      <c r="K182" s="16"/>
      <c r="L182" s="14">
        <v>-639999.99999999988</v>
      </c>
      <c r="M182" s="14">
        <v>-164763.11811320746</v>
      </c>
      <c r="N182" s="14"/>
      <c r="O182" s="14"/>
      <c r="P182" s="14">
        <v>-639999.99999999988</v>
      </c>
    </row>
    <row r="183" spans="1:79" ht="24" x14ac:dyDescent="0.25">
      <c r="A183" s="16">
        <v>154</v>
      </c>
      <c r="B183" s="12" t="s">
        <v>23</v>
      </c>
      <c r="C183" s="13" t="s">
        <v>324</v>
      </c>
      <c r="D183" s="13" t="s">
        <v>419</v>
      </c>
      <c r="E183" s="13" t="s">
        <v>475</v>
      </c>
      <c r="F183" s="12" t="s">
        <v>251</v>
      </c>
      <c r="G183" s="12">
        <v>8200</v>
      </c>
      <c r="H183" s="47" t="s">
        <v>78</v>
      </c>
      <c r="I183" s="48">
        <v>45992</v>
      </c>
      <c r="J183" s="49">
        <v>47664</v>
      </c>
      <c r="K183" s="16">
        <f t="shared" ref="K183:K188" si="7">IF(OR(I183="",J183=""),"",IF(J183&lt;I183,0,(YEAR(J183)-YEAR(I183))*12+(MONTH(J183)-MONTH(I183))+1-IF(DAY(J183)&lt;DAY(I183),1,0)))</f>
        <v>55</v>
      </c>
      <c r="L183" s="14">
        <v>639999.99999999988</v>
      </c>
      <c r="M183" s="14">
        <v>164763.11811320746</v>
      </c>
      <c r="N183" s="14"/>
      <c r="O183" s="14"/>
      <c r="P183" s="14">
        <v>639999.99999999988</v>
      </c>
    </row>
    <row r="184" spans="1:79" ht="24" x14ac:dyDescent="0.25">
      <c r="A184" s="16">
        <v>159</v>
      </c>
      <c r="B184" s="12" t="s">
        <v>241</v>
      </c>
      <c r="C184" s="13" t="s">
        <v>508</v>
      </c>
      <c r="D184" s="17" t="s">
        <v>376</v>
      </c>
      <c r="E184" s="13" t="s">
        <v>405</v>
      </c>
      <c r="F184" s="12" t="s">
        <v>81</v>
      </c>
      <c r="G184" s="12">
        <v>8200</v>
      </c>
      <c r="H184" s="47" t="s">
        <v>78</v>
      </c>
      <c r="I184" s="48">
        <v>45393</v>
      </c>
      <c r="J184" s="49">
        <v>46853</v>
      </c>
      <c r="K184" s="16">
        <f t="shared" si="7"/>
        <v>48</v>
      </c>
      <c r="L184" s="14">
        <v>368519.50608830008</v>
      </c>
      <c r="M184" s="14">
        <v>30381.538910350995</v>
      </c>
      <c r="N184" s="14"/>
      <c r="O184" s="14"/>
      <c r="P184" s="14">
        <v>368519.50608830008</v>
      </c>
    </row>
    <row r="185" spans="1:79" ht="24" x14ac:dyDescent="0.25">
      <c r="A185" s="16">
        <v>160</v>
      </c>
      <c r="B185" s="12" t="s">
        <v>241</v>
      </c>
      <c r="C185" s="13" t="s">
        <v>509</v>
      </c>
      <c r="D185" s="17" t="s">
        <v>510</v>
      </c>
      <c r="E185" s="13" t="s">
        <v>405</v>
      </c>
      <c r="F185" s="12" t="s">
        <v>81</v>
      </c>
      <c r="G185" s="12">
        <v>8200</v>
      </c>
      <c r="H185" s="47" t="s">
        <v>78</v>
      </c>
      <c r="I185" s="48">
        <v>45870</v>
      </c>
      <c r="J185" s="57">
        <v>46122</v>
      </c>
      <c r="K185" s="16">
        <f t="shared" si="7"/>
        <v>9</v>
      </c>
      <c r="L185" s="14">
        <v>7200</v>
      </c>
      <c r="M185" s="14">
        <v>1975.4661818181812</v>
      </c>
      <c r="N185" s="14"/>
      <c r="O185" s="14"/>
      <c r="P185" s="14">
        <v>7200</v>
      </c>
    </row>
    <row r="186" spans="1:79" ht="24" x14ac:dyDescent="0.25">
      <c r="A186" s="16">
        <v>214</v>
      </c>
      <c r="B186" s="12" t="s">
        <v>242</v>
      </c>
      <c r="C186" s="13" t="s">
        <v>243</v>
      </c>
      <c r="D186" s="17" t="s">
        <v>421</v>
      </c>
      <c r="E186" s="13" t="s">
        <v>511</v>
      </c>
      <c r="F186" s="12" t="s">
        <v>83</v>
      </c>
      <c r="G186" s="12">
        <v>8200</v>
      </c>
      <c r="H186" s="47" t="s">
        <v>78</v>
      </c>
      <c r="I186" s="48">
        <v>45713</v>
      </c>
      <c r="J186" s="49">
        <v>46807</v>
      </c>
      <c r="K186" s="16">
        <f t="shared" si="7"/>
        <v>36</v>
      </c>
      <c r="L186" s="14">
        <v>7775.0399999999991</v>
      </c>
      <c r="M186" s="14">
        <v>503.13950684931478</v>
      </c>
      <c r="N186" s="14"/>
      <c r="O186" s="14"/>
      <c r="P186" s="14">
        <v>7775.0399999999991</v>
      </c>
    </row>
    <row r="187" spans="1:79" ht="24" x14ac:dyDescent="0.25">
      <c r="A187" s="16">
        <v>215</v>
      </c>
      <c r="B187" s="12" t="s">
        <v>244</v>
      </c>
      <c r="C187" s="13" t="s">
        <v>512</v>
      </c>
      <c r="D187" s="17" t="s">
        <v>393</v>
      </c>
      <c r="E187" s="13" t="s">
        <v>293</v>
      </c>
      <c r="F187" s="12" t="s">
        <v>83</v>
      </c>
      <c r="G187" s="12">
        <v>8200</v>
      </c>
      <c r="H187" s="47" t="s">
        <v>78</v>
      </c>
      <c r="I187" s="48">
        <v>45843</v>
      </c>
      <c r="J187" s="49">
        <v>46207</v>
      </c>
      <c r="K187" s="16">
        <f t="shared" si="7"/>
        <v>12</v>
      </c>
      <c r="L187" s="14">
        <v>11094.014794520548</v>
      </c>
      <c r="M187" s="14">
        <v>3975.8535616438357</v>
      </c>
      <c r="N187" s="14"/>
      <c r="O187" s="14"/>
      <c r="P187" s="14">
        <v>11094.014794520548</v>
      </c>
    </row>
    <row r="188" spans="1:79" x14ac:dyDescent="0.25">
      <c r="A188" s="16">
        <v>23</v>
      </c>
      <c r="B188" s="12" t="s">
        <v>335</v>
      </c>
      <c r="C188" s="13" t="s">
        <v>336</v>
      </c>
      <c r="D188" s="13" t="s">
        <v>419</v>
      </c>
      <c r="E188" s="13" t="s">
        <v>412</v>
      </c>
      <c r="F188" s="12" t="s">
        <v>81</v>
      </c>
      <c r="G188" s="12">
        <v>8200</v>
      </c>
      <c r="H188" s="47" t="s">
        <v>78</v>
      </c>
      <c r="I188" s="48">
        <v>45839</v>
      </c>
      <c r="J188" s="57">
        <v>46203</v>
      </c>
      <c r="K188" s="16">
        <f t="shared" si="7"/>
        <v>12</v>
      </c>
      <c r="L188" s="14">
        <v>170100</v>
      </c>
      <c r="M188" s="14">
        <v>35816.054794520547</v>
      </c>
      <c r="N188" s="14"/>
      <c r="O188" s="14"/>
      <c r="P188" s="14">
        <v>170100</v>
      </c>
    </row>
    <row r="189" spans="1:79" ht="24" x14ac:dyDescent="0.25">
      <c r="A189" s="22" t="s">
        <v>381</v>
      </c>
      <c r="B189" s="17" t="s">
        <v>285</v>
      </c>
      <c r="C189" s="17" t="s">
        <v>513</v>
      </c>
      <c r="D189" s="17" t="s">
        <v>444</v>
      </c>
      <c r="E189" s="17" t="s">
        <v>286</v>
      </c>
      <c r="F189" s="17" t="s">
        <v>251</v>
      </c>
      <c r="G189" s="17">
        <v>8200</v>
      </c>
      <c r="H189" s="18"/>
      <c r="I189" s="17"/>
      <c r="J189" s="19"/>
      <c r="K189" s="18" t="str">
        <f>IF(OR(I189="",J189=""),"Monthly",IF(J189&lt;I189,0,(YEAR(J189)-YEAR(I189))*12+(MONTH(J189)-MONTH(I189))+1-IF(DAY(J189)&lt;DAY(I189),1,0)))</f>
        <v>Monthly</v>
      </c>
      <c r="L189" s="24">
        <v>300000</v>
      </c>
      <c r="M189" s="24">
        <v>300000</v>
      </c>
      <c r="N189" s="24"/>
      <c r="O189" s="24"/>
      <c r="P189" s="14">
        <v>300000</v>
      </c>
    </row>
    <row r="190" spans="1:79" ht="48" x14ac:dyDescent="0.25">
      <c r="A190" s="16">
        <v>161</v>
      </c>
      <c r="B190" s="12" t="s">
        <v>245</v>
      </c>
      <c r="C190" s="13" t="s">
        <v>246</v>
      </c>
      <c r="D190" s="55" t="s">
        <v>393</v>
      </c>
      <c r="E190" s="13" t="s">
        <v>293</v>
      </c>
      <c r="F190" s="12" t="s">
        <v>83</v>
      </c>
      <c r="G190" s="12">
        <v>8200</v>
      </c>
      <c r="H190" s="47" t="s">
        <v>78</v>
      </c>
      <c r="I190" s="48">
        <v>45505</v>
      </c>
      <c r="J190" s="49">
        <v>47367</v>
      </c>
      <c r="K190" s="16">
        <f>IF(OR(I190="",J190=""),"",IF(J190&lt;I190,0,(YEAR(J190)-YEAR(I190))*12+(MONTH(J190)-MONTH(I190))+1-IF(DAY(J190)&lt;DAY(I190),1,0)))</f>
        <v>62</v>
      </c>
      <c r="L190" s="14">
        <v>4701.4664519592079</v>
      </c>
      <c r="M190" s="14">
        <v>3130.01739130435</v>
      </c>
      <c r="N190" s="14"/>
      <c r="O190" s="14"/>
      <c r="P190" s="14">
        <v>4701.4664519592079</v>
      </c>
    </row>
    <row r="191" spans="1:79" s="33" customFormat="1" x14ac:dyDescent="0.25">
      <c r="A191" s="16">
        <v>48</v>
      </c>
      <c r="B191" s="12" t="s">
        <v>247</v>
      </c>
      <c r="C191" s="13" t="s">
        <v>248</v>
      </c>
      <c r="D191" s="13" t="s">
        <v>514</v>
      </c>
      <c r="E191" s="13" t="s">
        <v>412</v>
      </c>
      <c r="F191" s="12" t="s">
        <v>81</v>
      </c>
      <c r="G191" s="12">
        <v>8200</v>
      </c>
      <c r="H191" s="47" t="s">
        <v>78</v>
      </c>
      <c r="I191" s="48">
        <v>46001</v>
      </c>
      <c r="J191" s="49">
        <v>47096</v>
      </c>
      <c r="K191" s="16">
        <f>IF(OR(I191="",J191=""),"",IF(J191&lt;I191,0,(YEAR(J191)-YEAR(I191))*12+(MONTH(J191)-MONTH(I191))+1-IF(DAY(J191)&lt;DAY(I191),1,0)))</f>
        <v>36</v>
      </c>
      <c r="L191" s="14">
        <v>549280.19041095884</v>
      </c>
      <c r="M191" s="14">
        <v>284252.91684931499</v>
      </c>
      <c r="N191" s="14"/>
      <c r="O191" s="14"/>
      <c r="P191" s="14">
        <v>549280.19041095884</v>
      </c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</row>
    <row r="192" spans="1:79" ht="24" x14ac:dyDescent="0.25">
      <c r="A192" s="16">
        <v>371</v>
      </c>
      <c r="B192" s="12" t="s">
        <v>320</v>
      </c>
      <c r="C192" s="13" t="s">
        <v>515</v>
      </c>
      <c r="D192" s="17" t="s">
        <v>389</v>
      </c>
      <c r="E192" s="17" t="s">
        <v>295</v>
      </c>
      <c r="F192" s="12" t="s">
        <v>97</v>
      </c>
      <c r="G192" s="12">
        <v>8700</v>
      </c>
      <c r="H192" s="47" t="s">
        <v>0</v>
      </c>
      <c r="I192" s="13"/>
      <c r="J192" s="63"/>
      <c r="K192" s="22" t="str">
        <f>IF(OR(I192="",J192=""),"Monthly",IF(J192&lt;I192,0,(YEAR(J192)-YEAR(I192))*12+(MONTH(J192)-MONTH(I192))+1-IF(DAY(J192)&lt;DAY(I192),1,0)))</f>
        <v>Monthly</v>
      </c>
      <c r="L192" s="15">
        <v>11405</v>
      </c>
      <c r="M192" s="15">
        <v>2280.5</v>
      </c>
      <c r="N192" s="15"/>
      <c r="O192" s="15"/>
      <c r="P192" s="14">
        <v>11405</v>
      </c>
    </row>
    <row r="193" spans="1:16" ht="24" x14ac:dyDescent="0.25">
      <c r="A193" s="16">
        <v>162</v>
      </c>
      <c r="B193" s="12" t="s">
        <v>159</v>
      </c>
      <c r="C193" s="13" t="s">
        <v>160</v>
      </c>
      <c r="D193" s="17" t="s">
        <v>442</v>
      </c>
      <c r="E193" s="13" t="s">
        <v>291</v>
      </c>
      <c r="F193" s="12" t="s">
        <v>114</v>
      </c>
      <c r="G193" s="12">
        <v>8200</v>
      </c>
      <c r="H193" s="47" t="s">
        <v>78</v>
      </c>
      <c r="I193" s="48">
        <v>45900</v>
      </c>
      <c r="J193" s="49">
        <v>46264</v>
      </c>
      <c r="K193" s="16">
        <f>IF(OR(I193="",J193=""),"",IF(J193&lt;I193,0,(YEAR(J193)-YEAR(I193))*12+(MONTH(J193)-MONTH(I193))+1-IF(DAY(J193)&lt;DAY(I193),1,0)))</f>
        <v>12</v>
      </c>
      <c r="L193" s="14">
        <v>89342.246575342462</v>
      </c>
      <c r="M193" s="14">
        <v>-3674.2583561643842</v>
      </c>
      <c r="N193" s="14"/>
      <c r="O193" s="14"/>
      <c r="P193" s="14">
        <v>89342.246575342462</v>
      </c>
    </row>
    <row r="194" spans="1:16" ht="72" x14ac:dyDescent="0.25">
      <c r="A194" s="16">
        <v>163</v>
      </c>
      <c r="B194" s="12" t="s">
        <v>249</v>
      </c>
      <c r="C194" s="13" t="s">
        <v>516</v>
      </c>
      <c r="D194" s="17" t="s">
        <v>393</v>
      </c>
      <c r="E194" s="13" t="s">
        <v>293</v>
      </c>
      <c r="F194" s="12" t="s">
        <v>83</v>
      </c>
      <c r="G194" s="12">
        <v>8200</v>
      </c>
      <c r="H194" s="47" t="s">
        <v>78</v>
      </c>
      <c r="I194" s="48">
        <v>45621</v>
      </c>
      <c r="J194" s="49">
        <v>46715</v>
      </c>
      <c r="K194" s="16">
        <f>IF(OR(I194="",J194=""),"",IF(J194&lt;I194,0,(YEAR(J194)-YEAR(I194))*12+(MONTH(J194)-MONTH(I194))+1-IF(DAY(J194)&lt;DAY(I194),1,0)))</f>
        <v>36</v>
      </c>
      <c r="L194" s="14">
        <v>235297.79999999993</v>
      </c>
      <c r="M194" s="14">
        <v>-107502.17356164381</v>
      </c>
      <c r="N194" s="14"/>
      <c r="O194" s="14"/>
      <c r="P194" s="14">
        <v>235297.79999999993</v>
      </c>
    </row>
    <row r="195" spans="1:16" x14ac:dyDescent="0.25">
      <c r="A195" s="16">
        <v>164</v>
      </c>
      <c r="B195" s="17" t="s">
        <v>250</v>
      </c>
      <c r="C195" s="17" t="s">
        <v>517</v>
      </c>
      <c r="D195" s="17" t="s">
        <v>389</v>
      </c>
      <c r="E195" s="17" t="s">
        <v>295</v>
      </c>
      <c r="F195" s="17" t="s">
        <v>97</v>
      </c>
      <c r="G195" s="17">
        <v>8200</v>
      </c>
      <c r="H195" s="18" t="s">
        <v>0</v>
      </c>
      <c r="I195" s="67">
        <v>46037</v>
      </c>
      <c r="J195" s="68">
        <v>46766</v>
      </c>
      <c r="K195" s="18">
        <f>IF(OR(I195="",J195=""),"Monthly",IF(J195&lt;I195,0,(YEAR(J195)-YEAR(I195))*12+(MONTH(J195)-MONTH(I195))+1-IF(DAY(J195)&lt;DAY(I195),1,0)))</f>
        <v>24</v>
      </c>
      <c r="L195" s="15">
        <v>245564.31780821917</v>
      </c>
      <c r="M195" s="15">
        <v>245564.31780821917</v>
      </c>
      <c r="N195" s="15"/>
      <c r="O195" s="15"/>
      <c r="P195" s="14">
        <v>245564.31780821917</v>
      </c>
    </row>
    <row r="196" spans="1:16" x14ac:dyDescent="0.25">
      <c r="A196" s="16">
        <v>165</v>
      </c>
      <c r="B196" s="12" t="s">
        <v>201</v>
      </c>
      <c r="C196" s="13"/>
      <c r="D196" s="17" t="s">
        <v>393</v>
      </c>
      <c r="E196" s="13" t="s">
        <v>293</v>
      </c>
      <c r="F196" s="12" t="s">
        <v>83</v>
      </c>
      <c r="G196" s="12">
        <v>8200</v>
      </c>
      <c r="H196" s="47" t="s">
        <v>78</v>
      </c>
      <c r="I196" s="48"/>
      <c r="J196" s="49"/>
      <c r="K196" s="16" t="str">
        <f>IF(OR(I196="",J196=""),"",IF(J196&lt;I196,0,(YEAR(J196)-YEAR(I196))*12+(MONTH(J196)-MONTH(I196))+1-IF(DAY(J196)&lt;DAY(I196),1,0)))</f>
        <v/>
      </c>
      <c r="L196" s="14">
        <v>11550</v>
      </c>
      <c r="M196" s="14">
        <v>-17375.580000000002</v>
      </c>
      <c r="N196" s="14"/>
      <c r="O196" s="14"/>
      <c r="P196" s="14">
        <v>11550</v>
      </c>
    </row>
    <row r="197" spans="1:16" ht="24" x14ac:dyDescent="0.25">
      <c r="A197" s="16" t="s">
        <v>381</v>
      </c>
      <c r="B197" s="17" t="s">
        <v>292</v>
      </c>
      <c r="C197" s="17" t="s">
        <v>518</v>
      </c>
      <c r="D197" s="17" t="s">
        <v>393</v>
      </c>
      <c r="E197" s="17" t="s">
        <v>293</v>
      </c>
      <c r="F197" s="18" t="s">
        <v>83</v>
      </c>
      <c r="G197" s="17">
        <v>8300</v>
      </c>
      <c r="H197" s="18"/>
      <c r="I197" s="17"/>
      <c r="J197" s="19"/>
      <c r="K197" s="18" t="str">
        <f>IF(OR(I197="",J197=""),"Monthly",IF(J197&lt;I197,0,(YEAR(J197)-YEAR(I197))*12+(MONTH(J197)-MONTH(I197))+1-IF(DAY(J197)&lt;DAY(I197),1,0)))</f>
        <v>Monthly</v>
      </c>
      <c r="L197" s="15">
        <v>50000</v>
      </c>
      <c r="M197" s="15">
        <v>50000</v>
      </c>
      <c r="N197" s="15"/>
      <c r="O197" s="15"/>
      <c r="P197" s="14">
        <v>50000</v>
      </c>
    </row>
    <row r="198" spans="1:16" x14ac:dyDescent="0.25">
      <c r="A198" s="16">
        <v>169</v>
      </c>
      <c r="B198" s="12" t="s">
        <v>161</v>
      </c>
      <c r="C198" s="13" t="s">
        <v>325</v>
      </c>
      <c r="D198" s="17" t="s">
        <v>519</v>
      </c>
      <c r="E198" s="13" t="s">
        <v>412</v>
      </c>
      <c r="F198" s="12" t="s">
        <v>81</v>
      </c>
      <c r="G198" s="12">
        <v>8200</v>
      </c>
      <c r="H198" s="47" t="s">
        <v>78</v>
      </c>
      <c r="I198" s="48">
        <v>45747</v>
      </c>
      <c r="J198" s="57">
        <v>46111</v>
      </c>
      <c r="K198" s="16">
        <f t="shared" ref="K198:K209" si="8">IF(OR(I198="",J198=""),"",IF(J198&lt;I198,0,(YEAR(J198)-YEAR(I198))*12+(MONTH(J198)-MONTH(I198))+1-IF(DAY(J198)&lt;DAY(I198),1,0)))</f>
        <v>12</v>
      </c>
      <c r="L198" s="14">
        <v>137961.46175342464</v>
      </c>
      <c r="M198" s="14">
        <v>36879.256657534221</v>
      </c>
      <c r="N198" s="14"/>
      <c r="O198" s="14"/>
      <c r="P198" s="14">
        <v>137961.46175342464</v>
      </c>
    </row>
    <row r="199" spans="1:16" ht="24" x14ac:dyDescent="0.25">
      <c r="A199" s="16">
        <v>171</v>
      </c>
      <c r="B199" s="12" t="s">
        <v>161</v>
      </c>
      <c r="C199" s="13" t="s">
        <v>326</v>
      </c>
      <c r="D199" s="17" t="s">
        <v>519</v>
      </c>
      <c r="E199" s="13" t="s">
        <v>412</v>
      </c>
      <c r="F199" s="12" t="s">
        <v>81</v>
      </c>
      <c r="G199" s="12">
        <v>8200</v>
      </c>
      <c r="H199" s="47" t="s">
        <v>78</v>
      </c>
      <c r="I199" s="48">
        <v>44760</v>
      </c>
      <c r="J199" s="49">
        <v>46585</v>
      </c>
      <c r="K199" s="16">
        <f t="shared" si="8"/>
        <v>60</v>
      </c>
      <c r="L199" s="14">
        <v>105488.55805038336</v>
      </c>
      <c r="M199" s="14">
        <v>-8930.4012157721736</v>
      </c>
      <c r="N199" s="14"/>
      <c r="O199" s="14"/>
      <c r="P199" s="14">
        <v>105488.55805038336</v>
      </c>
    </row>
    <row r="200" spans="1:16" ht="24" x14ac:dyDescent="0.25">
      <c r="A200" s="16">
        <v>166</v>
      </c>
      <c r="B200" s="12" t="s">
        <v>161</v>
      </c>
      <c r="C200" s="13" t="s">
        <v>520</v>
      </c>
      <c r="D200" s="17" t="s">
        <v>391</v>
      </c>
      <c r="E200" s="13" t="s">
        <v>412</v>
      </c>
      <c r="F200" s="12" t="s">
        <v>77</v>
      </c>
      <c r="G200" s="12">
        <v>8200</v>
      </c>
      <c r="H200" s="47" t="s">
        <v>78</v>
      </c>
      <c r="I200" s="48">
        <v>46000</v>
      </c>
      <c r="J200" s="49">
        <v>46568</v>
      </c>
      <c r="K200" s="16">
        <f t="shared" si="8"/>
        <v>19</v>
      </c>
      <c r="L200" s="14">
        <v>38169.86</v>
      </c>
      <c r="M200" s="14">
        <v>38169.86</v>
      </c>
      <c r="N200" s="14"/>
      <c r="O200" s="14"/>
      <c r="P200" s="14">
        <v>38169.86</v>
      </c>
    </row>
    <row r="201" spans="1:16" ht="24" x14ac:dyDescent="0.25">
      <c r="A201" s="16">
        <v>170</v>
      </c>
      <c r="B201" s="12" t="s">
        <v>161</v>
      </c>
      <c r="C201" s="13" t="s">
        <v>252</v>
      </c>
      <c r="D201" s="17" t="s">
        <v>391</v>
      </c>
      <c r="E201" s="13" t="s">
        <v>412</v>
      </c>
      <c r="F201" s="12" t="s">
        <v>77</v>
      </c>
      <c r="G201" s="12">
        <v>8200</v>
      </c>
      <c r="H201" s="47" t="s">
        <v>78</v>
      </c>
      <c r="I201" s="48">
        <v>45839</v>
      </c>
      <c r="J201" s="49">
        <v>46568</v>
      </c>
      <c r="K201" s="16">
        <f t="shared" si="8"/>
        <v>24</v>
      </c>
      <c r="L201" s="14">
        <v>2084309.4599999997</v>
      </c>
      <c r="M201" s="14">
        <v>175665.20112328744</v>
      </c>
      <c r="N201" s="14"/>
      <c r="O201" s="14"/>
      <c r="P201" s="14">
        <v>2084309.4599999997</v>
      </c>
    </row>
    <row r="202" spans="1:16" x14ac:dyDescent="0.25">
      <c r="A202" s="16">
        <v>172</v>
      </c>
      <c r="B202" s="12" t="s">
        <v>161</v>
      </c>
      <c r="C202" s="13" t="s">
        <v>521</v>
      </c>
      <c r="D202" s="17" t="s">
        <v>391</v>
      </c>
      <c r="E202" s="13" t="s">
        <v>412</v>
      </c>
      <c r="F202" s="12" t="s">
        <v>89</v>
      </c>
      <c r="G202" s="12">
        <v>8200</v>
      </c>
      <c r="H202" s="47" t="s">
        <v>78</v>
      </c>
      <c r="I202" s="48">
        <v>46017</v>
      </c>
      <c r="J202" s="49">
        <v>46198</v>
      </c>
      <c r="K202" s="16">
        <f t="shared" si="8"/>
        <v>6</v>
      </c>
      <c r="L202" s="14">
        <v>10185</v>
      </c>
      <c r="M202" s="14">
        <v>3950.1214285714277</v>
      </c>
      <c r="N202" s="14"/>
      <c r="O202" s="14"/>
      <c r="P202" s="14">
        <v>10185</v>
      </c>
    </row>
    <row r="203" spans="1:16" ht="24" x14ac:dyDescent="0.25">
      <c r="A203" s="16">
        <v>168</v>
      </c>
      <c r="B203" s="12" t="s">
        <v>161</v>
      </c>
      <c r="C203" s="13" t="s">
        <v>327</v>
      </c>
      <c r="D203" s="17" t="s">
        <v>450</v>
      </c>
      <c r="E203" s="13" t="s">
        <v>412</v>
      </c>
      <c r="F203" s="12" t="s">
        <v>81</v>
      </c>
      <c r="G203" s="12">
        <v>8200</v>
      </c>
      <c r="H203" s="47" t="s">
        <v>78</v>
      </c>
      <c r="I203" s="48">
        <v>46001</v>
      </c>
      <c r="J203" s="49">
        <v>46730</v>
      </c>
      <c r="K203" s="16">
        <f t="shared" si="8"/>
        <v>24</v>
      </c>
      <c r="L203" s="15">
        <v>504378.33282712335</v>
      </c>
      <c r="M203" s="14">
        <v>-143673.74840575352</v>
      </c>
      <c r="N203" s="14"/>
      <c r="O203" s="14"/>
      <c r="P203" s="14">
        <v>504378.33282712335</v>
      </c>
    </row>
    <row r="204" spans="1:16" x14ac:dyDescent="0.25">
      <c r="A204" s="16">
        <v>173</v>
      </c>
      <c r="B204" s="12" t="s">
        <v>162</v>
      </c>
      <c r="C204" s="13"/>
      <c r="D204" s="13" t="s">
        <v>377</v>
      </c>
      <c r="E204" s="17" t="s">
        <v>428</v>
      </c>
      <c r="F204" s="12" t="s">
        <v>81</v>
      </c>
      <c r="G204" s="12">
        <v>8200</v>
      </c>
      <c r="H204" s="47" t="s">
        <v>78</v>
      </c>
      <c r="I204" s="48">
        <v>46042</v>
      </c>
      <c r="J204" s="49">
        <v>46406</v>
      </c>
      <c r="K204" s="16">
        <f t="shared" si="8"/>
        <v>12</v>
      </c>
      <c r="L204" s="14">
        <v>2474.1424657534249</v>
      </c>
      <c r="M204" s="14">
        <v>490.3219178082195</v>
      </c>
      <c r="N204" s="14"/>
      <c r="O204" s="14"/>
      <c r="P204" s="14">
        <v>2474.1424657534249</v>
      </c>
    </row>
    <row r="205" spans="1:16" x14ac:dyDescent="0.25">
      <c r="A205" s="16">
        <v>174</v>
      </c>
      <c r="B205" s="12" t="s">
        <v>253</v>
      </c>
      <c r="C205" s="13" t="s">
        <v>254</v>
      </c>
      <c r="D205" s="17" t="s">
        <v>376</v>
      </c>
      <c r="E205" s="13" t="s">
        <v>412</v>
      </c>
      <c r="F205" s="12" t="s">
        <v>81</v>
      </c>
      <c r="G205" s="12">
        <v>8200</v>
      </c>
      <c r="H205" s="47" t="s">
        <v>78</v>
      </c>
      <c r="I205" s="48">
        <v>45794</v>
      </c>
      <c r="J205" s="49">
        <v>46889</v>
      </c>
      <c r="K205" s="16">
        <f t="shared" si="8"/>
        <v>36</v>
      </c>
      <c r="L205" s="14">
        <v>872102.7591240874</v>
      </c>
      <c r="M205" s="14">
        <v>-1902.6814598541241</v>
      </c>
      <c r="N205" s="14"/>
      <c r="O205" s="14"/>
      <c r="P205" s="14">
        <v>872102.7591240874</v>
      </c>
    </row>
    <row r="206" spans="1:16" ht="36" x14ac:dyDescent="0.25">
      <c r="A206" s="16">
        <v>176</v>
      </c>
      <c r="B206" s="12" t="s">
        <v>163</v>
      </c>
      <c r="C206" s="13" t="s">
        <v>164</v>
      </c>
      <c r="D206" s="13" t="s">
        <v>377</v>
      </c>
      <c r="E206" s="17" t="s">
        <v>522</v>
      </c>
      <c r="F206" s="12" t="s">
        <v>97</v>
      </c>
      <c r="G206" s="12">
        <v>8200</v>
      </c>
      <c r="H206" s="47" t="s">
        <v>78</v>
      </c>
      <c r="I206" s="48">
        <v>45891</v>
      </c>
      <c r="J206" s="49">
        <v>46255</v>
      </c>
      <c r="K206" s="16">
        <f t="shared" si="8"/>
        <v>12</v>
      </c>
      <c r="L206" s="14">
        <v>126930.9701484018</v>
      </c>
      <c r="M206" s="14">
        <v>-22743.599166666681</v>
      </c>
      <c r="N206" s="14"/>
      <c r="O206" s="14"/>
      <c r="P206" s="14">
        <v>126930.9701484018</v>
      </c>
    </row>
    <row r="207" spans="1:16" ht="36" x14ac:dyDescent="0.25">
      <c r="A207" s="16">
        <v>177</v>
      </c>
      <c r="B207" s="12" t="s">
        <v>163</v>
      </c>
      <c r="C207" s="13" t="s">
        <v>523</v>
      </c>
      <c r="D207" s="13" t="s">
        <v>377</v>
      </c>
      <c r="E207" s="17" t="s">
        <v>522</v>
      </c>
      <c r="F207" s="12" t="s">
        <v>97</v>
      </c>
      <c r="G207" s="12">
        <v>8200</v>
      </c>
      <c r="H207" s="47" t="s">
        <v>78</v>
      </c>
      <c r="I207" s="48">
        <v>45747</v>
      </c>
      <c r="J207" s="49">
        <v>46111</v>
      </c>
      <c r="K207" s="16">
        <f t="shared" si="8"/>
        <v>12</v>
      </c>
      <c r="L207" s="14">
        <v>18666.664800000002</v>
      </c>
      <c r="M207" s="14">
        <v>12821.916526027399</v>
      </c>
      <c r="N207" s="14"/>
      <c r="O207" s="14"/>
      <c r="P207" s="14">
        <v>18666.664800000002</v>
      </c>
    </row>
    <row r="208" spans="1:16" ht="24" x14ac:dyDescent="0.25">
      <c r="A208" s="16">
        <v>24</v>
      </c>
      <c r="B208" s="12" t="s">
        <v>195</v>
      </c>
      <c r="C208" s="13" t="s">
        <v>196</v>
      </c>
      <c r="D208" s="13" t="s">
        <v>377</v>
      </c>
      <c r="E208" s="13" t="s">
        <v>524</v>
      </c>
      <c r="F208" s="12" t="s">
        <v>77</v>
      </c>
      <c r="G208" s="12">
        <v>8200</v>
      </c>
      <c r="H208" s="47" t="s">
        <v>0</v>
      </c>
      <c r="I208" s="48"/>
      <c r="J208" s="49"/>
      <c r="K208" s="16" t="str">
        <f t="shared" si="8"/>
        <v/>
      </c>
      <c r="L208" s="14">
        <v>42000</v>
      </c>
      <c r="M208" s="14">
        <v>-38516.527040000001</v>
      </c>
      <c r="N208" s="14"/>
      <c r="O208" s="14"/>
      <c r="P208" s="14">
        <v>42000</v>
      </c>
    </row>
    <row r="209" spans="1:16" ht="36" x14ac:dyDescent="0.25">
      <c r="A209" s="16">
        <v>25</v>
      </c>
      <c r="B209" s="12" t="s">
        <v>197</v>
      </c>
      <c r="C209" s="13" t="s">
        <v>196</v>
      </c>
      <c r="D209" s="13" t="s">
        <v>377</v>
      </c>
      <c r="E209" s="13" t="s">
        <v>525</v>
      </c>
      <c r="F209" s="12" t="s">
        <v>77</v>
      </c>
      <c r="G209" s="12">
        <v>8200</v>
      </c>
      <c r="H209" s="47" t="s">
        <v>0</v>
      </c>
      <c r="I209" s="48"/>
      <c r="J209" s="49"/>
      <c r="K209" s="16" t="str">
        <f t="shared" si="8"/>
        <v/>
      </c>
      <c r="L209" s="14">
        <v>27999.999999999996</v>
      </c>
      <c r="M209" s="14">
        <v>-2550.8323999999957</v>
      </c>
      <c r="N209" s="14"/>
      <c r="O209" s="14"/>
      <c r="P209" s="14">
        <v>27999.999999999996</v>
      </c>
    </row>
    <row r="210" spans="1:16" ht="24" x14ac:dyDescent="0.25">
      <c r="A210" s="22" t="s">
        <v>381</v>
      </c>
      <c r="B210" s="17" t="s">
        <v>279</v>
      </c>
      <c r="C210" s="17" t="s">
        <v>526</v>
      </c>
      <c r="D210" s="17" t="s">
        <v>377</v>
      </c>
      <c r="E210" s="17" t="s">
        <v>280</v>
      </c>
      <c r="F210" s="23" t="s">
        <v>89</v>
      </c>
      <c r="G210" s="17">
        <v>8200</v>
      </c>
      <c r="H210" s="18"/>
      <c r="I210" s="17"/>
      <c r="J210" s="19"/>
      <c r="K210" s="18" t="str">
        <f>IF(OR(I210="",J210=""),"Monthly",IF(J210&lt;I210,0,(YEAR(J210)-YEAR(I210))*12+(MONTH(J210)-MONTH(I210))+1-IF(DAY(J210)&lt;DAY(I210),1,0)))</f>
        <v>Monthly</v>
      </c>
      <c r="L210" s="15">
        <v>186666.66666666666</v>
      </c>
      <c r="M210" s="15">
        <v>186666.66666666666</v>
      </c>
      <c r="N210" s="15"/>
      <c r="O210" s="15"/>
      <c r="P210" s="14">
        <v>186666.66666666666</v>
      </c>
    </row>
    <row r="211" spans="1:16" ht="24" x14ac:dyDescent="0.25">
      <c r="A211" s="16">
        <v>178</v>
      </c>
      <c r="B211" s="12" t="s">
        <v>64</v>
      </c>
      <c r="C211" s="13" t="s">
        <v>274</v>
      </c>
      <c r="D211" s="17" t="s">
        <v>376</v>
      </c>
      <c r="E211" s="13" t="s">
        <v>405</v>
      </c>
      <c r="F211" s="12" t="s">
        <v>81</v>
      </c>
      <c r="G211" s="12">
        <v>8200</v>
      </c>
      <c r="H211" s="47" t="s">
        <v>78</v>
      </c>
      <c r="I211" s="48">
        <v>45939</v>
      </c>
      <c r="J211" s="49">
        <v>46303</v>
      </c>
      <c r="K211" s="16">
        <f>IF(OR(I211="",J211=""),"",IF(J211&lt;I211,0,(YEAR(J211)-YEAR(I211))*12+(MONTH(J211)-MONTH(I211))+1-IF(DAY(J211)&lt;DAY(I211),1,0)))</f>
        <v>12</v>
      </c>
      <c r="L211" s="14">
        <v>529718.23013698636</v>
      </c>
      <c r="M211" s="14">
        <v>62679.944520548044</v>
      </c>
      <c r="N211" s="14"/>
      <c r="O211" s="14"/>
      <c r="P211" s="14">
        <v>529718.23013698636</v>
      </c>
    </row>
    <row r="212" spans="1:16" ht="36" x14ac:dyDescent="0.25">
      <c r="A212" s="16">
        <v>179</v>
      </c>
      <c r="B212" s="12" t="s">
        <v>165</v>
      </c>
      <c r="C212" s="13" t="s">
        <v>166</v>
      </c>
      <c r="D212" s="17" t="s">
        <v>376</v>
      </c>
      <c r="E212" s="17" t="s">
        <v>405</v>
      </c>
      <c r="F212" s="12" t="s">
        <v>81</v>
      </c>
      <c r="G212" s="12">
        <v>8200</v>
      </c>
      <c r="H212" s="47" t="s">
        <v>78</v>
      </c>
      <c r="I212" s="48">
        <v>45813</v>
      </c>
      <c r="J212" s="57">
        <v>46177</v>
      </c>
      <c r="K212" s="16">
        <f>IF(OR(I212="",J212=""),"",IF(J212&lt;I212,0,(YEAR(J212)-YEAR(I212))*12+(MONTH(J212)-MONTH(I212))+1-IF(DAY(J212)&lt;DAY(I212),1,0)))</f>
        <v>12</v>
      </c>
      <c r="L212" s="14">
        <v>86189.589041095882</v>
      </c>
      <c r="M212" s="14">
        <v>-2156.031780821897</v>
      </c>
      <c r="N212" s="14"/>
      <c r="O212" s="14"/>
      <c r="P212" s="14">
        <v>86189.589041095882</v>
      </c>
    </row>
    <row r="213" spans="1:16" ht="24" x14ac:dyDescent="0.25">
      <c r="A213" s="16">
        <v>180</v>
      </c>
      <c r="B213" s="12" t="s">
        <v>255</v>
      </c>
      <c r="C213" s="13" t="s">
        <v>256</v>
      </c>
      <c r="D213" s="13" t="s">
        <v>377</v>
      </c>
      <c r="E213" s="17" t="s">
        <v>527</v>
      </c>
      <c r="F213" s="12" t="s">
        <v>89</v>
      </c>
      <c r="G213" s="12">
        <v>8200</v>
      </c>
      <c r="H213" s="47" t="s">
        <v>78</v>
      </c>
      <c r="I213" s="48">
        <v>45747</v>
      </c>
      <c r="J213" s="49">
        <v>46842</v>
      </c>
      <c r="K213" s="16">
        <f>IF(OR(I213="",J213=""),"",IF(J213&lt;I213,0,(YEAR(J213)-YEAR(I213))*12+(MONTH(J213)-MONTH(I213))+1-IF(DAY(J213)&lt;DAY(I213),1,0)))</f>
        <v>36</v>
      </c>
      <c r="L213" s="14">
        <v>130551.94895168641</v>
      </c>
      <c r="M213" s="14">
        <v>-7592.2728896991757</v>
      </c>
      <c r="N213" s="14"/>
      <c r="O213" s="14"/>
      <c r="P213" s="14">
        <v>130551.94895168641</v>
      </c>
    </row>
    <row r="214" spans="1:16" ht="24" x14ac:dyDescent="0.25">
      <c r="A214" s="16">
        <v>381</v>
      </c>
      <c r="B214" s="12" t="s">
        <v>316</v>
      </c>
      <c r="C214" s="13" t="s">
        <v>528</v>
      </c>
      <c r="D214" s="17" t="s">
        <v>393</v>
      </c>
      <c r="E214" s="13" t="s">
        <v>293</v>
      </c>
      <c r="F214" s="12" t="s">
        <v>83</v>
      </c>
      <c r="G214" s="12">
        <v>8700</v>
      </c>
      <c r="H214" s="47" t="s">
        <v>0</v>
      </c>
      <c r="I214" s="13"/>
      <c r="J214" s="63"/>
      <c r="K214" s="22" t="str">
        <f>IF(OR(I214="",J214=""),"Monthly",IF(J214&lt;I214,0,(YEAR(J214)-YEAR(I214))*12+(MONTH(J214)-MONTH(I214))+1-IF(DAY(J214)&lt;DAY(I214),1,0)))</f>
        <v>Monthly</v>
      </c>
      <c r="L214" s="15">
        <v>24000</v>
      </c>
      <c r="M214" s="15">
        <v>6548.4199999999983</v>
      </c>
      <c r="N214" s="15"/>
      <c r="O214" s="15"/>
      <c r="P214" s="14">
        <v>24000</v>
      </c>
    </row>
    <row r="215" spans="1:16" ht="24" x14ac:dyDescent="0.25">
      <c r="A215" s="16">
        <v>26</v>
      </c>
      <c r="B215" s="12" t="s">
        <v>205</v>
      </c>
      <c r="C215" s="13"/>
      <c r="D215" s="17" t="s">
        <v>389</v>
      </c>
      <c r="E215" s="17" t="s">
        <v>434</v>
      </c>
      <c r="F215" s="12" t="s">
        <v>97</v>
      </c>
      <c r="G215" s="12">
        <v>8200</v>
      </c>
      <c r="H215" s="47" t="s">
        <v>0</v>
      </c>
      <c r="I215" s="48">
        <v>45839</v>
      </c>
      <c r="J215" s="57">
        <v>46203</v>
      </c>
      <c r="K215" s="16" t="s">
        <v>416</v>
      </c>
      <c r="L215" s="14">
        <v>7200</v>
      </c>
      <c r="M215" s="14">
        <v>-1021.619999999999</v>
      </c>
      <c r="N215" s="14"/>
      <c r="O215" s="14"/>
      <c r="P215" s="14">
        <v>7200</v>
      </c>
    </row>
    <row r="216" spans="1:16" ht="24" x14ac:dyDescent="0.25">
      <c r="A216" s="16">
        <v>181</v>
      </c>
      <c r="B216" s="12" t="s">
        <v>257</v>
      </c>
      <c r="C216" s="13" t="s">
        <v>258</v>
      </c>
      <c r="D216" s="17" t="s">
        <v>421</v>
      </c>
      <c r="E216" s="13" t="s">
        <v>529</v>
      </c>
      <c r="F216" s="12" t="s">
        <v>92</v>
      </c>
      <c r="G216" s="12">
        <v>8200</v>
      </c>
      <c r="H216" s="47" t="s">
        <v>78</v>
      </c>
      <c r="I216" s="48">
        <v>45901</v>
      </c>
      <c r="J216" s="49">
        <v>46630</v>
      </c>
      <c r="K216" s="16">
        <f>IF(OR(I216="",J216=""),"",IF(J216&lt;I216,0,(YEAR(J216)-YEAR(I216))*12+(MONTH(J216)-MONTH(I216))+1-IF(DAY(J216)&lt;DAY(I216),1,0)))</f>
        <v>24</v>
      </c>
      <c r="L216" s="14">
        <v>82500.000000000015</v>
      </c>
      <c r="M216" s="14">
        <v>32178.875068493166</v>
      </c>
      <c r="N216" s="14"/>
      <c r="O216" s="14"/>
      <c r="P216" s="14">
        <v>82500.000000000015</v>
      </c>
    </row>
    <row r="217" spans="1:16" ht="24" x14ac:dyDescent="0.25">
      <c r="A217" s="16">
        <v>181</v>
      </c>
      <c r="B217" s="12" t="s">
        <v>257</v>
      </c>
      <c r="C217" s="13"/>
      <c r="D217" s="55" t="s">
        <v>389</v>
      </c>
      <c r="E217" s="13" t="s">
        <v>529</v>
      </c>
      <c r="F217" s="12" t="s">
        <v>141</v>
      </c>
      <c r="G217" s="12">
        <v>8200</v>
      </c>
      <c r="H217" s="16"/>
      <c r="I217" s="13"/>
      <c r="J217" s="63"/>
      <c r="K217" s="22" t="str">
        <f>IF(OR(I217="",J217=""),"Monthly",IF(J217&lt;I217,0,(YEAR(J217)-YEAR(I217))*12+(MONTH(J217)-MONTH(I217))+1-IF(DAY(J217)&lt;DAY(I217),1,0)))</f>
        <v>Monthly</v>
      </c>
      <c r="L217" s="15">
        <v>6000</v>
      </c>
      <c r="M217" s="15">
        <v>322.98999999999978</v>
      </c>
      <c r="N217" s="15"/>
      <c r="O217" s="15"/>
      <c r="P217" s="14">
        <v>6000</v>
      </c>
    </row>
    <row r="218" spans="1:16" ht="24" x14ac:dyDescent="0.25">
      <c r="A218" s="16">
        <v>181</v>
      </c>
      <c r="B218" s="12" t="s">
        <v>257</v>
      </c>
      <c r="C218" s="13"/>
      <c r="D218" s="55" t="s">
        <v>391</v>
      </c>
      <c r="E218" s="13" t="s">
        <v>529</v>
      </c>
      <c r="F218" s="12" t="s">
        <v>77</v>
      </c>
      <c r="G218" s="12">
        <v>8200</v>
      </c>
      <c r="H218" s="16"/>
      <c r="I218" s="13"/>
      <c r="J218" s="63"/>
      <c r="K218" s="22" t="str">
        <f>IF(OR(I218="",J218=""),"Monthly",IF(J218&lt;I218,0,(YEAR(J218)-YEAR(I218))*12+(MONTH(J218)-MONTH(I218))+1-IF(DAY(J218)&lt;DAY(I218),1,0)))</f>
        <v>Monthly</v>
      </c>
      <c r="L218" s="15">
        <v>41250.000000000007</v>
      </c>
      <c r="M218" s="15">
        <v>-2564.6599999999889</v>
      </c>
      <c r="N218" s="15"/>
      <c r="O218" s="15"/>
      <c r="P218" s="14">
        <v>41250.000000000007</v>
      </c>
    </row>
    <row r="219" spans="1:16" ht="24" x14ac:dyDescent="0.25">
      <c r="A219" s="16">
        <v>181</v>
      </c>
      <c r="B219" s="12" t="s">
        <v>257</v>
      </c>
      <c r="C219" s="13"/>
      <c r="D219" s="55" t="s">
        <v>389</v>
      </c>
      <c r="E219" s="13" t="s">
        <v>529</v>
      </c>
      <c r="F219" s="12" t="s">
        <v>97</v>
      </c>
      <c r="G219" s="12">
        <v>8200</v>
      </c>
      <c r="H219" s="16"/>
      <c r="I219" s="13"/>
      <c r="J219" s="63"/>
      <c r="K219" s="22" t="str">
        <f>IF(OR(I219="",J219=""),"Monthly",IF(J219&lt;I219,0,(YEAR(J219)-YEAR(I219))*12+(MONTH(J219)-MONTH(I219))+1-IF(DAY(J219)&lt;DAY(I219),1,0)))</f>
        <v>Monthly</v>
      </c>
      <c r="L219" s="15">
        <v>41250.000000000007</v>
      </c>
      <c r="M219" s="15">
        <v>-13428.05999999999</v>
      </c>
      <c r="N219" s="15"/>
      <c r="O219" s="15"/>
      <c r="P219" s="14">
        <v>41250.000000000007</v>
      </c>
    </row>
    <row r="220" spans="1:16" ht="24" x14ac:dyDescent="0.25">
      <c r="A220" s="16">
        <v>182</v>
      </c>
      <c r="B220" s="12" t="s">
        <v>167</v>
      </c>
      <c r="C220" s="13" t="s">
        <v>168</v>
      </c>
      <c r="D220" s="13" t="s">
        <v>377</v>
      </c>
      <c r="E220" s="17" t="s">
        <v>530</v>
      </c>
      <c r="F220" s="12" t="s">
        <v>81</v>
      </c>
      <c r="G220" s="12">
        <v>8200</v>
      </c>
      <c r="H220" s="47" t="s">
        <v>78</v>
      </c>
      <c r="I220" s="48">
        <v>45679</v>
      </c>
      <c r="J220" s="49">
        <v>46408</v>
      </c>
      <c r="K220" s="16">
        <f t="shared" ref="K220:K226" si="9">IF(OR(I220="",J220=""),"",IF(J220&lt;I220,0,(YEAR(J220)-YEAR(I220))*12+(MONTH(J220)-MONTH(I220))+1-IF(DAY(J220)&lt;DAY(I220),1,0)))</f>
        <v>24</v>
      </c>
      <c r="L220" s="14">
        <v>85828.331404390992</v>
      </c>
      <c r="M220" s="14">
        <v>3865.7640071307251</v>
      </c>
      <c r="N220" s="14"/>
      <c r="O220" s="14"/>
      <c r="P220" s="14">
        <v>85828.331404390992</v>
      </c>
    </row>
    <row r="221" spans="1:16" x14ac:dyDescent="0.25">
      <c r="A221" s="16">
        <v>183</v>
      </c>
      <c r="B221" s="12" t="s">
        <v>169</v>
      </c>
      <c r="C221" s="13"/>
      <c r="D221" s="13" t="s">
        <v>377</v>
      </c>
      <c r="E221" s="17" t="s">
        <v>531</v>
      </c>
      <c r="F221" s="12" t="s">
        <v>89</v>
      </c>
      <c r="G221" s="12">
        <v>8200</v>
      </c>
      <c r="H221" s="47" t="s">
        <v>78</v>
      </c>
      <c r="I221" s="48">
        <v>45842</v>
      </c>
      <c r="J221" s="49">
        <v>46206</v>
      </c>
      <c r="K221" s="16">
        <f t="shared" si="9"/>
        <v>12</v>
      </c>
      <c r="L221" s="14">
        <v>2.8692328767123283</v>
      </c>
      <c r="M221" s="14">
        <v>2.8692328767123283</v>
      </c>
      <c r="N221" s="14"/>
      <c r="O221" s="14"/>
      <c r="P221" s="14">
        <v>2.8692328767123283</v>
      </c>
    </row>
    <row r="222" spans="1:16" ht="24" x14ac:dyDescent="0.25">
      <c r="A222" s="16">
        <v>185</v>
      </c>
      <c r="B222" s="12" t="s">
        <v>259</v>
      </c>
      <c r="C222" s="13" t="s">
        <v>260</v>
      </c>
      <c r="D222" s="17" t="s">
        <v>391</v>
      </c>
      <c r="E222" s="17" t="s">
        <v>412</v>
      </c>
      <c r="F222" s="12" t="s">
        <v>77</v>
      </c>
      <c r="G222" s="12">
        <v>8200</v>
      </c>
      <c r="H222" s="47" t="s">
        <v>78</v>
      </c>
      <c r="I222" s="48">
        <v>45839</v>
      </c>
      <c r="J222" s="49">
        <v>46934</v>
      </c>
      <c r="K222" s="16">
        <f t="shared" si="9"/>
        <v>36</v>
      </c>
      <c r="L222" s="14">
        <v>11509.489051094888</v>
      </c>
      <c r="M222" s="14">
        <v>6562.041751824815</v>
      </c>
      <c r="N222" s="14"/>
      <c r="O222" s="14"/>
      <c r="P222" s="14">
        <v>11509.489051094888</v>
      </c>
    </row>
    <row r="223" spans="1:16" ht="24" x14ac:dyDescent="0.25">
      <c r="A223" s="16">
        <v>189</v>
      </c>
      <c r="B223" s="12" t="s">
        <v>259</v>
      </c>
      <c r="C223" s="13" t="s">
        <v>261</v>
      </c>
      <c r="D223" s="17" t="s">
        <v>391</v>
      </c>
      <c r="E223" s="17" t="s">
        <v>412</v>
      </c>
      <c r="F223" s="12" t="s">
        <v>77</v>
      </c>
      <c r="G223" s="12">
        <v>8200</v>
      </c>
      <c r="H223" s="47" t="s">
        <v>78</v>
      </c>
      <c r="I223" s="48">
        <v>45839</v>
      </c>
      <c r="J223" s="49">
        <v>46934</v>
      </c>
      <c r="K223" s="16">
        <f t="shared" si="9"/>
        <v>36</v>
      </c>
      <c r="L223" s="14">
        <v>4105.0510948905112</v>
      </c>
      <c r="M223" s="14">
        <v>-955.37817518248175</v>
      </c>
      <c r="N223" s="14"/>
      <c r="O223" s="14"/>
      <c r="P223" s="14">
        <v>4105.0510948905112</v>
      </c>
    </row>
    <row r="224" spans="1:16" ht="24" x14ac:dyDescent="0.25">
      <c r="A224" s="16">
        <v>188</v>
      </c>
      <c r="B224" s="12" t="s">
        <v>259</v>
      </c>
      <c r="C224" s="13" t="s">
        <v>262</v>
      </c>
      <c r="D224" s="17" t="s">
        <v>391</v>
      </c>
      <c r="E224" s="17" t="s">
        <v>412</v>
      </c>
      <c r="F224" s="12" t="s">
        <v>77</v>
      </c>
      <c r="G224" s="12">
        <v>8200</v>
      </c>
      <c r="H224" s="47" t="s">
        <v>78</v>
      </c>
      <c r="I224" s="48">
        <v>45778</v>
      </c>
      <c r="J224" s="49">
        <v>46873</v>
      </c>
      <c r="K224" s="16">
        <f t="shared" si="9"/>
        <v>36</v>
      </c>
      <c r="L224" s="14">
        <v>165369.53759124086</v>
      </c>
      <c r="M224" s="14">
        <v>17485.535985401453</v>
      </c>
      <c r="N224" s="14"/>
      <c r="O224" s="14"/>
      <c r="P224" s="14">
        <v>165369.53759124086</v>
      </c>
    </row>
    <row r="225" spans="1:16" ht="36" x14ac:dyDescent="0.25">
      <c r="A225" s="16">
        <v>187</v>
      </c>
      <c r="B225" s="12" t="s">
        <v>259</v>
      </c>
      <c r="C225" s="13" t="s">
        <v>263</v>
      </c>
      <c r="D225" s="17" t="s">
        <v>391</v>
      </c>
      <c r="E225" s="17" t="s">
        <v>412</v>
      </c>
      <c r="F225" s="12" t="s">
        <v>77</v>
      </c>
      <c r="G225" s="12">
        <v>8200</v>
      </c>
      <c r="H225" s="47" t="s">
        <v>78</v>
      </c>
      <c r="I225" s="48">
        <v>45839</v>
      </c>
      <c r="J225" s="49">
        <v>46934</v>
      </c>
      <c r="K225" s="16">
        <f t="shared" si="9"/>
        <v>36</v>
      </c>
      <c r="L225" s="14">
        <v>275641.33941605838</v>
      </c>
      <c r="M225" s="14">
        <v>34794.855693430669</v>
      </c>
      <c r="N225" s="14"/>
      <c r="O225" s="14"/>
      <c r="P225" s="14">
        <v>275641.33941605838</v>
      </c>
    </row>
    <row r="226" spans="1:16" ht="36" x14ac:dyDescent="0.25">
      <c r="A226" s="16">
        <v>186</v>
      </c>
      <c r="B226" s="12" t="s">
        <v>259</v>
      </c>
      <c r="C226" s="13" t="s">
        <v>263</v>
      </c>
      <c r="D226" s="17" t="s">
        <v>391</v>
      </c>
      <c r="E226" s="17" t="s">
        <v>412</v>
      </c>
      <c r="F226" s="12" t="s">
        <v>77</v>
      </c>
      <c r="G226" s="12">
        <v>8200</v>
      </c>
      <c r="H226" s="47" t="s">
        <v>78</v>
      </c>
      <c r="I226" s="48">
        <v>45778</v>
      </c>
      <c r="J226" s="49">
        <v>46873</v>
      </c>
      <c r="K226" s="16">
        <f t="shared" si="9"/>
        <v>36</v>
      </c>
      <c r="L226" s="14">
        <v>433651.17153284675</v>
      </c>
      <c r="M226" s="14">
        <v>-12382.887445255416</v>
      </c>
      <c r="N226" s="14"/>
      <c r="O226" s="14"/>
      <c r="P226" s="14">
        <v>433651.17153284675</v>
      </c>
    </row>
    <row r="227" spans="1:16" ht="24" x14ac:dyDescent="0.25">
      <c r="A227" s="16" t="s">
        <v>381</v>
      </c>
      <c r="B227" s="17" t="s">
        <v>294</v>
      </c>
      <c r="C227" s="17" t="s">
        <v>532</v>
      </c>
      <c r="D227" s="17" t="s">
        <v>467</v>
      </c>
      <c r="E227" s="17" t="s">
        <v>288</v>
      </c>
      <c r="F227" s="18" t="s">
        <v>229</v>
      </c>
      <c r="G227" s="17">
        <v>8200</v>
      </c>
      <c r="H227" s="18" t="s">
        <v>78</v>
      </c>
      <c r="I227" s="17"/>
      <c r="J227" s="19"/>
      <c r="K227" s="18" t="str">
        <f>IF(OR(I227="",J227=""),"Monthly",IF(J227&lt;I227,0,(YEAR(J227)-YEAR(I227))*12+(MONTH(J227)-MONTH(I227))+1-IF(DAY(J227)&lt;DAY(I227),1,0)))</f>
        <v>Monthly</v>
      </c>
      <c r="L227" s="15">
        <v>80000</v>
      </c>
      <c r="M227" s="15">
        <v>80000</v>
      </c>
      <c r="N227" s="15"/>
      <c r="O227" s="15"/>
      <c r="P227" s="14">
        <v>80000</v>
      </c>
    </row>
    <row r="228" spans="1:16" ht="48" x14ac:dyDescent="0.25">
      <c r="A228" s="16" t="s">
        <v>381</v>
      </c>
      <c r="B228" s="17" t="s">
        <v>294</v>
      </c>
      <c r="C228" s="17" t="s">
        <v>533</v>
      </c>
      <c r="D228" s="17" t="s">
        <v>389</v>
      </c>
      <c r="E228" s="17" t="s">
        <v>295</v>
      </c>
      <c r="F228" s="18" t="s">
        <v>97</v>
      </c>
      <c r="G228" s="17">
        <v>8700</v>
      </c>
      <c r="H228" s="18" t="s">
        <v>319</v>
      </c>
      <c r="I228" s="17"/>
      <c r="J228" s="19"/>
      <c r="K228" s="18" t="str">
        <f>IF(OR(I228="",J228=""),"Monthly",IF(J228&lt;I228,0,(YEAR(J228)-YEAR(I228))*12+(MONTH(J228)-MONTH(I228))+1-IF(DAY(J228)&lt;DAY(I228),1,0)))</f>
        <v>Monthly</v>
      </c>
      <c r="L228" s="15">
        <v>20000</v>
      </c>
      <c r="M228" s="15">
        <v>20000</v>
      </c>
      <c r="N228" s="15"/>
      <c r="O228" s="15"/>
      <c r="P228" s="14">
        <v>20000</v>
      </c>
    </row>
    <row r="229" spans="1:16" ht="24" x14ac:dyDescent="0.25">
      <c r="A229" s="16">
        <v>190</v>
      </c>
      <c r="B229" s="12" t="s">
        <v>317</v>
      </c>
      <c r="C229" s="13" t="s">
        <v>534</v>
      </c>
      <c r="D229" s="17" t="s">
        <v>442</v>
      </c>
      <c r="E229" s="13" t="s">
        <v>291</v>
      </c>
      <c r="F229" s="12" t="s">
        <v>89</v>
      </c>
      <c r="G229" s="12">
        <v>8700</v>
      </c>
      <c r="H229" s="47" t="s">
        <v>78</v>
      </c>
      <c r="I229" s="48">
        <v>45931</v>
      </c>
      <c r="J229" s="49">
        <v>46295</v>
      </c>
      <c r="K229" s="16">
        <f>IF(OR(I229="",J229=""),"",IF(J229&lt;I229,0,(YEAR(J229)-YEAR(I229))*12+(MONTH(J229)-MONTH(I229))+1-IF(DAY(J229)&lt;DAY(I229),1,0)))</f>
        <v>12</v>
      </c>
      <c r="L229" s="14">
        <v>15000</v>
      </c>
      <c r="M229" s="14">
        <v>-9000</v>
      </c>
      <c r="N229" s="14"/>
      <c r="O229" s="14"/>
      <c r="P229" s="14">
        <v>15000</v>
      </c>
    </row>
    <row r="230" spans="1:16" ht="24" x14ac:dyDescent="0.25">
      <c r="A230" s="16">
        <v>397</v>
      </c>
      <c r="B230" s="12" t="s">
        <v>317</v>
      </c>
      <c r="C230" s="13" t="s">
        <v>535</v>
      </c>
      <c r="D230" s="17" t="s">
        <v>442</v>
      </c>
      <c r="E230" s="13" t="s">
        <v>291</v>
      </c>
      <c r="F230" s="12" t="s">
        <v>89</v>
      </c>
      <c r="G230" s="12">
        <v>8200</v>
      </c>
      <c r="H230" s="16"/>
      <c r="I230" s="13"/>
      <c r="J230" s="63"/>
      <c r="K230" s="22" t="str">
        <f>IF(OR(I230="",J230=""),"Monthly",IF(J230&lt;I230,0,(YEAR(J230)-YEAR(I230))*12+(MONTH(J230)-MONTH(I230))+1-IF(DAY(J230)&lt;DAY(I230),1,0)))</f>
        <v>Monthly</v>
      </c>
      <c r="L230" s="15">
        <v>86583.835616438359</v>
      </c>
      <c r="M230" s="15">
        <v>34019.925342465758</v>
      </c>
      <c r="N230" s="15"/>
      <c r="O230" s="15"/>
      <c r="P230" s="14">
        <v>86583.835616438359</v>
      </c>
    </row>
    <row r="231" spans="1:16" x14ac:dyDescent="0.25">
      <c r="A231" s="16">
        <v>191</v>
      </c>
      <c r="B231" s="12" t="s">
        <v>170</v>
      </c>
      <c r="C231" s="13" t="s">
        <v>171</v>
      </c>
      <c r="D231" s="17" t="s">
        <v>442</v>
      </c>
      <c r="E231" s="13" t="s">
        <v>536</v>
      </c>
      <c r="F231" s="12" t="s">
        <v>114</v>
      </c>
      <c r="G231" s="12">
        <v>8200</v>
      </c>
      <c r="H231" s="47" t="s">
        <v>78</v>
      </c>
      <c r="I231" s="48">
        <v>45711</v>
      </c>
      <c r="J231" s="57">
        <v>46075</v>
      </c>
      <c r="K231" s="16">
        <f>IF(OR(I231="",J231=""),"",IF(J231&lt;I231,0,(YEAR(J231)-YEAR(I231))*12+(MONTH(J231)-MONTH(I231))+1-IF(DAY(J231)&lt;DAY(I231),1,0)))</f>
        <v>12</v>
      </c>
      <c r="L231" s="14">
        <v>8702</v>
      </c>
      <c r="M231" s="14">
        <v>3749</v>
      </c>
      <c r="N231" s="14"/>
      <c r="O231" s="14"/>
      <c r="P231" s="14">
        <v>8702</v>
      </c>
    </row>
    <row r="232" spans="1:16" ht="24" x14ac:dyDescent="0.25">
      <c r="A232" s="16">
        <v>27</v>
      </c>
      <c r="B232" s="12" t="s">
        <v>270</v>
      </c>
      <c r="C232" s="13"/>
      <c r="D232" s="17" t="s">
        <v>442</v>
      </c>
      <c r="E232" s="13" t="s">
        <v>291</v>
      </c>
      <c r="F232" s="12" t="s">
        <v>114</v>
      </c>
      <c r="G232" s="12">
        <v>8800</v>
      </c>
      <c r="H232" s="47" t="s">
        <v>0</v>
      </c>
      <c r="I232" s="48"/>
      <c r="J232" s="49"/>
      <c r="K232" s="16" t="str">
        <f>IF(OR(I232="",J232=""),"Monthly",IF(J232&lt;I232,0,(YEAR(J232)-YEAR(I232))*12+(MONTH(J232)-MONTH(I232))+1-IF(DAY(J232)&lt;DAY(I232),1,0)))</f>
        <v>Monthly</v>
      </c>
      <c r="L232" s="14">
        <v>214200</v>
      </c>
      <c r="M232" s="14">
        <v>2676.7700000000186</v>
      </c>
      <c r="N232" s="14"/>
      <c r="O232" s="14"/>
      <c r="P232" s="14">
        <v>214200</v>
      </c>
    </row>
    <row r="233" spans="1:16" ht="24" x14ac:dyDescent="0.25">
      <c r="A233" s="16">
        <v>192</v>
      </c>
      <c r="B233" s="12" t="s">
        <v>172</v>
      </c>
      <c r="C233" s="13" t="s">
        <v>173</v>
      </c>
      <c r="D233" s="13" t="s">
        <v>450</v>
      </c>
      <c r="E233" s="13" t="s">
        <v>537</v>
      </c>
      <c r="F233" s="12" t="s">
        <v>81</v>
      </c>
      <c r="G233" s="12">
        <v>8200</v>
      </c>
      <c r="H233" s="47" t="s">
        <v>78</v>
      </c>
      <c r="I233" s="48">
        <v>46098</v>
      </c>
      <c r="J233" s="49">
        <v>46462</v>
      </c>
      <c r="K233" s="16">
        <f>IF(OR(I233="",J233=""),"",IF(J233&lt;I233,0,(YEAR(J233)-YEAR(I233))*12+(MONTH(J233)-MONTH(I233))+1-IF(DAY(J233)&lt;DAY(I233),1,0)))</f>
        <v>12</v>
      </c>
      <c r="L233" s="14">
        <v>75140.082739726029</v>
      </c>
      <c r="M233" s="14">
        <v>32492.410130614844</v>
      </c>
      <c r="N233" s="14"/>
      <c r="O233" s="14"/>
      <c r="P233" s="14">
        <v>75140.082739726029</v>
      </c>
    </row>
    <row r="234" spans="1:16" x14ac:dyDescent="0.25">
      <c r="A234" s="16">
        <v>28</v>
      </c>
      <c r="B234" s="12" t="s">
        <v>271</v>
      </c>
      <c r="C234" s="13" t="s">
        <v>538</v>
      </c>
      <c r="D234" s="17" t="s">
        <v>442</v>
      </c>
      <c r="E234" s="13" t="s">
        <v>291</v>
      </c>
      <c r="F234" s="12" t="s">
        <v>114</v>
      </c>
      <c r="G234" s="12">
        <v>8800</v>
      </c>
      <c r="H234" s="47" t="s">
        <v>0</v>
      </c>
      <c r="I234" s="48"/>
      <c r="J234" s="49"/>
      <c r="K234" s="16" t="str">
        <f>IF(OR(I234="",J234=""),"",IF(J234&lt;I234,0,(YEAR(J234)-YEAR(I234))*12+(MONTH(J234)-MONTH(I234))+1-IF(DAY(J234)&lt;DAY(I234),1,0)))</f>
        <v/>
      </c>
      <c r="L234" s="14">
        <v>116179.1505</v>
      </c>
      <c r="M234" s="14">
        <v>5532.3404999999766</v>
      </c>
      <c r="N234" s="14"/>
      <c r="O234" s="14"/>
      <c r="P234" s="14">
        <v>116179.1505</v>
      </c>
    </row>
    <row r="235" spans="1:16" ht="24" x14ac:dyDescent="0.25">
      <c r="A235" s="16">
        <v>403</v>
      </c>
      <c r="B235" s="12" t="s">
        <v>212</v>
      </c>
      <c r="C235" s="13"/>
      <c r="D235" s="17" t="s">
        <v>442</v>
      </c>
      <c r="E235" s="13" t="s">
        <v>291</v>
      </c>
      <c r="F235" s="12" t="s">
        <v>114</v>
      </c>
      <c r="G235" s="12">
        <v>8300</v>
      </c>
      <c r="H235" s="16"/>
      <c r="I235" s="13"/>
      <c r="J235" s="63"/>
      <c r="K235" s="22" t="str">
        <f>IF(OR(I235="",J235=""),"Monthly",IF(J235&lt;I235,0,(YEAR(J235)-YEAR(I235))*12+(MONTH(J235)-MONTH(I235))+1-IF(DAY(J235)&lt;DAY(I235),1,0)))</f>
        <v>Monthly</v>
      </c>
      <c r="L235" s="15">
        <v>72000</v>
      </c>
      <c r="M235" s="15">
        <v>6131.8399999999965</v>
      </c>
      <c r="N235" s="15"/>
      <c r="O235" s="15"/>
      <c r="P235" s="14">
        <v>72000</v>
      </c>
    </row>
    <row r="236" spans="1:16" x14ac:dyDescent="0.25">
      <c r="A236" s="16">
        <v>193</v>
      </c>
      <c r="B236" s="12" t="s">
        <v>53</v>
      </c>
      <c r="C236" s="13" t="s">
        <v>174</v>
      </c>
      <c r="D236" s="13" t="s">
        <v>377</v>
      </c>
      <c r="E236" s="13" t="s">
        <v>539</v>
      </c>
      <c r="F236" s="12" t="s">
        <v>77</v>
      </c>
      <c r="G236" s="12">
        <v>8200</v>
      </c>
      <c r="H236" s="47" t="s">
        <v>78</v>
      </c>
      <c r="I236" s="48">
        <v>46116</v>
      </c>
      <c r="J236" s="49">
        <v>46480</v>
      </c>
      <c r="K236" s="16">
        <f>IF(OR(I236="",J236=""),"",IF(J236&lt;I236,0,(YEAR(J236)-YEAR(I236))*12+(MONTH(J236)-MONTH(I236))+1-IF(DAY(J236)&lt;DAY(I236),1,0)))</f>
        <v>12</v>
      </c>
      <c r="L236" s="14">
        <v>40335.342465753427</v>
      </c>
      <c r="M236" s="14">
        <v>11047.889602515155</v>
      </c>
      <c r="N236" s="14"/>
      <c r="O236" s="14"/>
      <c r="P236" s="14">
        <v>40335.342465753427</v>
      </c>
    </row>
    <row r="237" spans="1:16" x14ac:dyDescent="0.25">
      <c r="A237" s="16">
        <v>194</v>
      </c>
      <c r="B237" s="12" t="s">
        <v>175</v>
      </c>
      <c r="C237" s="13" t="s">
        <v>540</v>
      </c>
      <c r="D237" s="13" t="s">
        <v>377</v>
      </c>
      <c r="E237" s="13" t="s">
        <v>412</v>
      </c>
      <c r="F237" s="12" t="s">
        <v>81</v>
      </c>
      <c r="G237" s="12">
        <v>8200</v>
      </c>
      <c r="H237" s="47" t="s">
        <v>78</v>
      </c>
      <c r="I237" s="48">
        <v>45910</v>
      </c>
      <c r="J237" s="49">
        <v>46274</v>
      </c>
      <c r="K237" s="16">
        <f>IF(OR(I237="",J237=""),"",IF(J237&lt;I237,0,(YEAR(J237)-YEAR(I237))*12+(MONTH(J237)-MONTH(I237))+1-IF(DAY(J237)&lt;DAY(I237),1,0)))</f>
        <v>12</v>
      </c>
      <c r="L237" s="14">
        <v>151.72602739726025</v>
      </c>
      <c r="M237" s="14">
        <v>151.72602739726025</v>
      </c>
      <c r="N237" s="14"/>
      <c r="O237" s="14"/>
      <c r="P237" s="14">
        <v>151.72602739726025</v>
      </c>
    </row>
    <row r="238" spans="1:16" ht="24" x14ac:dyDescent="0.25">
      <c r="A238" s="16">
        <v>217</v>
      </c>
      <c r="B238" s="12" t="s">
        <v>175</v>
      </c>
      <c r="C238" s="13" t="s">
        <v>176</v>
      </c>
      <c r="D238" s="13" t="s">
        <v>377</v>
      </c>
      <c r="E238" s="13" t="s">
        <v>412</v>
      </c>
      <c r="F238" s="12" t="s">
        <v>81</v>
      </c>
      <c r="G238" s="12">
        <v>8200</v>
      </c>
      <c r="H238" s="47" t="s">
        <v>78</v>
      </c>
      <c r="I238" s="48">
        <v>46008</v>
      </c>
      <c r="J238" s="49">
        <v>46372</v>
      </c>
      <c r="K238" s="16">
        <f>IF(OR(I238="",J238=""),"",IF(J238&lt;I238,0,(YEAR(J238)-YEAR(I238))*12+(MONTH(J238)-MONTH(I238))+1-IF(DAY(J238)&lt;DAY(I238),1,0)))</f>
        <v>12</v>
      </c>
      <c r="L238" s="14">
        <v>361.15068493150682</v>
      </c>
      <c r="M238" s="14">
        <v>-757.56164383561656</v>
      </c>
      <c r="N238" s="14"/>
      <c r="O238" s="14"/>
      <c r="P238" s="14">
        <v>361.15068493150682</v>
      </c>
    </row>
    <row r="239" spans="1:16" ht="24" x14ac:dyDescent="0.25">
      <c r="A239" s="16">
        <v>216</v>
      </c>
      <c r="B239" s="12" t="s">
        <v>175</v>
      </c>
      <c r="C239" s="13" t="s">
        <v>177</v>
      </c>
      <c r="D239" s="13" t="s">
        <v>377</v>
      </c>
      <c r="E239" s="13" t="s">
        <v>541</v>
      </c>
      <c r="F239" s="12" t="s">
        <v>81</v>
      </c>
      <c r="G239" s="12">
        <v>8200</v>
      </c>
      <c r="H239" s="47" t="s">
        <v>78</v>
      </c>
      <c r="I239" s="48">
        <v>45937</v>
      </c>
      <c r="J239" s="49">
        <v>46301</v>
      </c>
      <c r="K239" s="16">
        <f>IF(OR(I239="",J239=""),"",IF(J239&lt;I239,0,(YEAR(J239)-YEAR(I239))*12+(MONTH(J239)-MONTH(I239))+1-IF(DAY(J239)&lt;DAY(I239),1,0)))</f>
        <v>12</v>
      </c>
      <c r="L239" s="14">
        <v>12185.904109589041</v>
      </c>
      <c r="M239" s="14">
        <v>3670.4756164383562</v>
      </c>
      <c r="N239" s="14"/>
      <c r="O239" s="14"/>
      <c r="P239" s="14">
        <v>12185.904109589041</v>
      </c>
    </row>
    <row r="240" spans="1:16" x14ac:dyDescent="0.25">
      <c r="A240" s="16">
        <v>195</v>
      </c>
      <c r="B240" s="12" t="s">
        <v>54</v>
      </c>
      <c r="C240" s="13" t="s">
        <v>178</v>
      </c>
      <c r="D240" s="17" t="s">
        <v>389</v>
      </c>
      <c r="E240" s="17" t="s">
        <v>542</v>
      </c>
      <c r="F240" s="12" t="s">
        <v>81</v>
      </c>
      <c r="G240" s="12">
        <v>8200</v>
      </c>
      <c r="H240" s="47" t="s">
        <v>78</v>
      </c>
      <c r="I240" s="48">
        <v>45614</v>
      </c>
      <c r="J240" s="49">
        <v>46340</v>
      </c>
      <c r="K240" s="16">
        <f>IF(OR(I240="",J240=""),"",IF(J240&lt;I240,0,(YEAR(J240)-YEAR(I240))*12+(MONTH(J240)-MONTH(I240))+1-IF(DAY(J240)&lt;DAY(I240),1,0)))</f>
        <v>24</v>
      </c>
      <c r="L240" s="14">
        <v>21935.138121546959</v>
      </c>
      <c r="M240" s="14">
        <v>-13651.012541436467</v>
      </c>
      <c r="N240" s="14"/>
      <c r="O240" s="14"/>
      <c r="P240" s="14">
        <v>21935.138121546959</v>
      </c>
    </row>
    <row r="241" spans="1:16" ht="24" x14ac:dyDescent="0.25">
      <c r="A241" s="16">
        <v>195</v>
      </c>
      <c r="B241" s="12" t="s">
        <v>54</v>
      </c>
      <c r="C241" s="13" t="s">
        <v>178</v>
      </c>
      <c r="D241" s="17" t="s">
        <v>389</v>
      </c>
      <c r="E241" s="17" t="s">
        <v>542</v>
      </c>
      <c r="F241" s="12" t="s">
        <v>97</v>
      </c>
      <c r="G241" s="12">
        <v>8200</v>
      </c>
      <c r="H241" s="47" t="s">
        <v>319</v>
      </c>
      <c r="I241" s="13"/>
      <c r="J241" s="63"/>
      <c r="K241" s="22" t="str">
        <f>IF(OR(I241="",J241=""),"Monthly",IF(J241&lt;I241,0,(YEAR(J241)-YEAR(I241))*12+(MONTH(J241)-MONTH(I241))+1-IF(DAY(J241)&lt;DAY(I241),1,0)))</f>
        <v>Monthly</v>
      </c>
      <c r="L241" s="15">
        <v>40572</v>
      </c>
      <c r="M241" s="15">
        <v>40572</v>
      </c>
      <c r="N241" s="15"/>
      <c r="O241" s="15">
        <v>-7000</v>
      </c>
      <c r="P241" s="14">
        <v>33572</v>
      </c>
    </row>
    <row r="242" spans="1:16" x14ac:dyDescent="0.25">
      <c r="A242" s="16">
        <v>196</v>
      </c>
      <c r="B242" s="12" t="s">
        <v>543</v>
      </c>
      <c r="C242" s="13" t="s">
        <v>179</v>
      </c>
      <c r="D242" s="17" t="s">
        <v>391</v>
      </c>
      <c r="E242" s="17" t="s">
        <v>544</v>
      </c>
      <c r="F242" s="12" t="s">
        <v>77</v>
      </c>
      <c r="G242" s="12">
        <v>8200</v>
      </c>
      <c r="H242" s="47" t="s">
        <v>78</v>
      </c>
      <c r="I242" s="48">
        <v>45474</v>
      </c>
      <c r="J242" s="57">
        <v>46203</v>
      </c>
      <c r="K242" s="16">
        <f>IF(OR(I242="",J242=""),"",IF(J242&lt;I242,0,(YEAR(J242)-YEAR(I242))*12+(MONTH(J242)-MONTH(I242))+1-IF(DAY(J242)&lt;DAY(I242),1,0)))</f>
        <v>24</v>
      </c>
      <c r="L242" s="14">
        <v>187065.59999999998</v>
      </c>
      <c r="M242" s="14">
        <v>-604.51616438358906</v>
      </c>
      <c r="N242" s="14"/>
      <c r="O242" s="21">
        <v>-187066</v>
      </c>
      <c r="P242" s="14">
        <v>-0.40000000002328306</v>
      </c>
    </row>
    <row r="243" spans="1:16" x14ac:dyDescent="0.25">
      <c r="A243" s="16">
        <v>197</v>
      </c>
      <c r="B243" s="12" t="s">
        <v>180</v>
      </c>
      <c r="C243" s="13" t="s">
        <v>545</v>
      </c>
      <c r="D243" s="17" t="s">
        <v>393</v>
      </c>
      <c r="E243" s="13" t="s">
        <v>293</v>
      </c>
      <c r="F243" s="12" t="s">
        <v>83</v>
      </c>
      <c r="G243" s="12">
        <v>8200</v>
      </c>
      <c r="H243" s="47" t="s">
        <v>78</v>
      </c>
      <c r="I243" s="48">
        <v>45672</v>
      </c>
      <c r="J243" s="49">
        <v>46401</v>
      </c>
      <c r="K243" s="16">
        <f>IF(OR(I243="",J243=""),"",IF(J243&lt;I243,0,(YEAR(J243)-YEAR(I243))*12+(MONTH(J243)-MONTH(I243))+1-IF(DAY(J243)&lt;DAY(I243),1,0)))</f>
        <v>24</v>
      </c>
      <c r="L243" s="14">
        <v>678.87276712328764</v>
      </c>
      <c r="M243" s="14">
        <v>345.87857534246569</v>
      </c>
      <c r="N243" s="14"/>
      <c r="O243" s="14"/>
      <c r="P243" s="14">
        <v>678.87276712328764</v>
      </c>
    </row>
    <row r="244" spans="1:16" x14ac:dyDescent="0.25">
      <c r="A244" s="16">
        <v>198</v>
      </c>
      <c r="B244" s="12" t="s">
        <v>181</v>
      </c>
      <c r="C244" s="13" t="s">
        <v>546</v>
      </c>
      <c r="D244" s="17" t="s">
        <v>393</v>
      </c>
      <c r="E244" s="13" t="s">
        <v>293</v>
      </c>
      <c r="F244" s="12" t="s">
        <v>83</v>
      </c>
      <c r="G244" s="12">
        <v>8200</v>
      </c>
      <c r="H244" s="47" t="s">
        <v>78</v>
      </c>
      <c r="I244" s="48">
        <v>45839</v>
      </c>
      <c r="J244" s="49">
        <v>46339</v>
      </c>
      <c r="K244" s="16">
        <f>IF(OR(I244="",J244=""),"",IF(J244&lt;I244,0,(YEAR(J244)-YEAR(I244))*12+(MONTH(J244)-MONTH(I244))+1-IF(DAY(J244)&lt;DAY(I244),1,0)))</f>
        <v>17</v>
      </c>
      <c r="L244" s="14">
        <v>12400.707762557078</v>
      </c>
      <c r="M244" s="14">
        <v>-847.76525114155265</v>
      </c>
      <c r="N244" s="14"/>
      <c r="O244" s="14"/>
      <c r="P244" s="14">
        <v>12400.707762557078</v>
      </c>
    </row>
    <row r="245" spans="1:16" ht="24" x14ac:dyDescent="0.25">
      <c r="A245" s="16">
        <v>413</v>
      </c>
      <c r="B245" s="12" t="s">
        <v>182</v>
      </c>
      <c r="C245" s="13"/>
      <c r="D245" s="17" t="s">
        <v>391</v>
      </c>
      <c r="E245" s="17" t="s">
        <v>547</v>
      </c>
      <c r="F245" s="12" t="s">
        <v>81</v>
      </c>
      <c r="G245" s="12">
        <v>8200</v>
      </c>
      <c r="H245" s="16"/>
      <c r="I245" s="13"/>
      <c r="J245" s="63"/>
      <c r="K245" s="22" t="str">
        <f>IF(OR(I245="",J245=""),"Monthly",IF(J245&lt;I245,0,(YEAR(J245)-YEAR(I245))*12+(MONTH(J245)-MONTH(I245))+1-IF(DAY(J245)&lt;DAY(I245),1,0)))</f>
        <v>Monthly</v>
      </c>
      <c r="L245" s="15">
        <v>5000</v>
      </c>
      <c r="M245" s="15">
        <v>33.140000000001237</v>
      </c>
      <c r="N245" s="15"/>
      <c r="O245" s="15"/>
      <c r="P245" s="14">
        <v>5000</v>
      </c>
    </row>
    <row r="246" spans="1:16" ht="24" x14ac:dyDescent="0.25">
      <c r="A246" s="16">
        <v>29</v>
      </c>
      <c r="B246" s="12" t="s">
        <v>202</v>
      </c>
      <c r="C246" s="13" t="s">
        <v>203</v>
      </c>
      <c r="D246" s="17" t="s">
        <v>548</v>
      </c>
      <c r="E246" s="17" t="s">
        <v>549</v>
      </c>
      <c r="F246" s="12" t="s">
        <v>77</v>
      </c>
      <c r="G246" s="12">
        <v>8200</v>
      </c>
      <c r="H246" s="47" t="s">
        <v>78</v>
      </c>
      <c r="I246" s="48">
        <v>45839</v>
      </c>
      <c r="J246" s="57">
        <v>46203</v>
      </c>
      <c r="K246" s="16">
        <f>IF(OR(I246="",J246=""),"",IF(J246&lt;I246,0,(YEAR(J246)-YEAR(I246))*12+(MONTH(J246)-MONTH(I246))+1-IF(DAY(J246)&lt;DAY(I246),1,0)))</f>
        <v>12</v>
      </c>
      <c r="L246" s="14">
        <v>400</v>
      </c>
      <c r="M246" s="14">
        <v>-1833.4228767123282</v>
      </c>
      <c r="N246" s="14"/>
      <c r="O246" s="14"/>
      <c r="P246" s="14">
        <v>400</v>
      </c>
    </row>
    <row r="247" spans="1:16" ht="36" x14ac:dyDescent="0.25">
      <c r="A247" s="16">
        <v>200</v>
      </c>
      <c r="B247" s="12" t="s">
        <v>183</v>
      </c>
      <c r="C247" s="13" t="s">
        <v>184</v>
      </c>
      <c r="D247" s="17" t="s">
        <v>377</v>
      </c>
      <c r="E247" s="13" t="s">
        <v>550</v>
      </c>
      <c r="F247" s="12" t="s">
        <v>77</v>
      </c>
      <c r="G247" s="12">
        <v>8200</v>
      </c>
      <c r="H247" s="47" t="s">
        <v>78</v>
      </c>
      <c r="I247" s="48">
        <v>45726</v>
      </c>
      <c r="J247" s="57">
        <v>46090</v>
      </c>
      <c r="K247" s="16">
        <f>IF(OR(I247="",J247=""),"",IF(J247&lt;I247,0,(YEAR(J247)-YEAR(I247))*12+(MONTH(J247)-MONTH(I247))+1-IF(DAY(J247)&lt;DAY(I247),1,0)))</f>
        <v>12</v>
      </c>
      <c r="L247" s="14">
        <v>3088.3561643835619</v>
      </c>
      <c r="M247" s="14">
        <v>1285.3030136986308</v>
      </c>
      <c r="N247" s="14"/>
      <c r="O247" s="14"/>
      <c r="P247" s="14">
        <v>3088.3561643835619</v>
      </c>
    </row>
    <row r="248" spans="1:16" ht="24" x14ac:dyDescent="0.25">
      <c r="A248" s="16">
        <v>201</v>
      </c>
      <c r="B248" s="12" t="s">
        <v>56</v>
      </c>
      <c r="C248" s="13" t="s">
        <v>185</v>
      </c>
      <c r="D248" s="17" t="s">
        <v>442</v>
      </c>
      <c r="E248" s="13" t="s">
        <v>291</v>
      </c>
      <c r="F248" s="12" t="s">
        <v>114</v>
      </c>
      <c r="G248" s="12">
        <v>8800</v>
      </c>
      <c r="H248" s="47" t="s">
        <v>78</v>
      </c>
      <c r="I248" s="48">
        <v>45780</v>
      </c>
      <c r="J248" s="49">
        <v>46509</v>
      </c>
      <c r="K248" s="16">
        <f>IF(OR(I248="",J248=""),"Monthly",IF(J248&lt;I248,0,(YEAR(J248)-YEAR(I248))*12+(MONTH(J248)-MONTH(I248))+1-IF(DAY(J248)&lt;DAY(I248),1,0)))</f>
        <v>24</v>
      </c>
      <c r="L248" s="14">
        <v>131371.72030479452</v>
      </c>
      <c r="M248" s="14">
        <v>1421.2373184931494</v>
      </c>
      <c r="N248" s="14"/>
      <c r="O248" s="21">
        <v>8000</v>
      </c>
      <c r="P248" s="14">
        <v>139371.72030479452</v>
      </c>
    </row>
    <row r="249" spans="1:16" x14ac:dyDescent="0.25"/>
    <row r="250" spans="1:16" x14ac:dyDescent="0.25"/>
    <row r="251" spans="1:16" x14ac:dyDescent="0.25"/>
    <row r="252" spans="1:16" x14ac:dyDescent="0.25"/>
    <row r="253" spans="1:16" x14ac:dyDescent="0.25"/>
    <row r="254" spans="1:16" x14ac:dyDescent="0.25"/>
    <row r="255" spans="1:16" x14ac:dyDescent="0.25"/>
    <row r="256" spans="1:1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spans="12:16" x14ac:dyDescent="0.25"/>
    <row r="274" spans="12:16" x14ac:dyDescent="0.25"/>
    <row r="275" spans="12:16" x14ac:dyDescent="0.25"/>
    <row r="276" spans="12:16" x14ac:dyDescent="0.25"/>
    <row r="277" spans="12:16" x14ac:dyDescent="0.25"/>
    <row r="278" spans="12:16" x14ac:dyDescent="0.25"/>
    <row r="279" spans="12:16" x14ac:dyDescent="0.25"/>
    <row r="280" spans="12:16" x14ac:dyDescent="0.25"/>
    <row r="281" spans="12:16" x14ac:dyDescent="0.25"/>
    <row r="282" spans="12:16" x14ac:dyDescent="0.25">
      <c r="L282" s="75"/>
      <c r="M282" s="75"/>
      <c r="N282" s="75"/>
      <c r="O282" s="75"/>
      <c r="P282" s="75"/>
    </row>
    <row r="283" spans="12:16" x14ac:dyDescent="0.25">
      <c r="L283" s="75"/>
      <c r="M283" s="75"/>
      <c r="N283" s="75"/>
      <c r="O283" s="75"/>
      <c r="P283" s="75"/>
    </row>
    <row r="284" spans="12:16" x14ac:dyDescent="0.25">
      <c r="L284" s="75"/>
      <c r="M284" s="75"/>
      <c r="N284" s="75"/>
      <c r="O284" s="75"/>
      <c r="P284" s="75"/>
    </row>
    <row r="285" spans="12:16" x14ac:dyDescent="0.25">
      <c r="L285" s="75"/>
      <c r="M285" s="75"/>
      <c r="N285" s="75"/>
      <c r="O285" s="75"/>
      <c r="P285" s="75"/>
    </row>
    <row r="286" spans="12:16" x14ac:dyDescent="0.25">
      <c r="L286" s="75"/>
      <c r="M286" s="75"/>
      <c r="N286" s="75"/>
      <c r="O286" s="75"/>
      <c r="P286" s="75"/>
    </row>
    <row r="287" spans="12:16" x14ac:dyDescent="0.25">
      <c r="L287" s="75"/>
      <c r="M287" s="75"/>
      <c r="N287" s="75"/>
      <c r="O287" s="75"/>
      <c r="P287" s="75"/>
    </row>
    <row r="288" spans="12:16" x14ac:dyDescent="0.25">
      <c r="L288" s="75"/>
      <c r="M288" s="75"/>
      <c r="N288" s="75"/>
      <c r="O288" s="75"/>
      <c r="P288" s="75"/>
    </row>
    <row r="289" spans="12:16" x14ac:dyDescent="0.25">
      <c r="L289" s="75"/>
      <c r="M289" s="75"/>
      <c r="N289" s="75"/>
      <c r="O289" s="75"/>
      <c r="P289" s="75"/>
    </row>
    <row r="290" spans="12:16" x14ac:dyDescent="0.25">
      <c r="L290" s="75"/>
      <c r="M290" s="75"/>
      <c r="N290" s="75"/>
      <c r="O290" s="75"/>
      <c r="P290" s="75"/>
    </row>
    <row r="291" spans="12:16" x14ac:dyDescent="0.25">
      <c r="L291" s="75"/>
      <c r="M291" s="75"/>
      <c r="N291" s="75"/>
      <c r="O291" s="75"/>
      <c r="P291" s="75"/>
    </row>
    <row r="292" spans="12:16" x14ac:dyDescent="0.25">
      <c r="L292" s="75"/>
      <c r="M292" s="75"/>
      <c r="N292" s="75"/>
      <c r="O292" s="75"/>
      <c r="P292" s="75"/>
    </row>
    <row r="293" spans="12:16" x14ac:dyDescent="0.25">
      <c r="L293" s="75"/>
      <c r="M293" s="75"/>
      <c r="N293" s="75"/>
      <c r="O293" s="75"/>
      <c r="P293" s="75"/>
    </row>
    <row r="294" spans="12:16" x14ac:dyDescent="0.25">
      <c r="L294" s="75"/>
      <c r="M294" s="75"/>
      <c r="N294" s="75"/>
      <c r="O294" s="75"/>
      <c r="P294" s="75"/>
    </row>
    <row r="295" spans="12:16" x14ac:dyDescent="0.25">
      <c r="L295" s="75"/>
      <c r="M295" s="75"/>
      <c r="N295" s="75"/>
      <c r="O295" s="75"/>
      <c r="P295" s="75"/>
    </row>
    <row r="296" spans="12:16" x14ac:dyDescent="0.25">
      <c r="L296" s="75"/>
      <c r="M296" s="75"/>
      <c r="N296" s="75"/>
      <c r="O296" s="75"/>
      <c r="P296" s="75"/>
    </row>
    <row r="297" spans="12:16" x14ac:dyDescent="0.25">
      <c r="L297" s="75"/>
      <c r="M297" s="75"/>
      <c r="N297" s="75"/>
      <c r="O297" s="75"/>
      <c r="P297" s="75"/>
    </row>
    <row r="298" spans="12:16" x14ac:dyDescent="0.25">
      <c r="L298" s="75"/>
      <c r="M298" s="75"/>
      <c r="N298" s="75"/>
      <c r="O298" s="75"/>
      <c r="P298" s="75"/>
    </row>
    <row r="299" spans="12:16" x14ac:dyDescent="0.25">
      <c r="L299" s="75"/>
      <c r="M299" s="75"/>
      <c r="N299" s="75"/>
      <c r="O299" s="75"/>
      <c r="P299" s="75"/>
    </row>
    <row r="300" spans="12:16" x14ac:dyDescent="0.25">
      <c r="L300" s="75"/>
      <c r="M300" s="75"/>
      <c r="N300" s="75"/>
      <c r="O300" s="75"/>
      <c r="P300" s="75"/>
    </row>
    <row r="301" spans="12:16" x14ac:dyDescent="0.25">
      <c r="L301" s="75"/>
      <c r="M301" s="75"/>
      <c r="N301" s="75"/>
      <c r="O301" s="75"/>
      <c r="P301" s="75"/>
    </row>
    <row r="302" spans="12:16" x14ac:dyDescent="0.25">
      <c r="L302" s="75"/>
      <c r="M302" s="75"/>
      <c r="N302" s="75"/>
      <c r="O302" s="75"/>
      <c r="P302" s="75"/>
    </row>
    <row r="303" spans="12:16" x14ac:dyDescent="0.25">
      <c r="L303" s="75"/>
      <c r="M303" s="75"/>
      <c r="N303" s="75"/>
      <c r="O303" s="75"/>
      <c r="P303" s="75"/>
    </row>
    <row r="304" spans="12:16" x14ac:dyDescent="0.25">
      <c r="L304" s="75"/>
      <c r="M304" s="75"/>
      <c r="N304" s="75"/>
      <c r="O304" s="75"/>
      <c r="P304" s="75"/>
    </row>
    <row r="305" spans="12:16" x14ac:dyDescent="0.25">
      <c r="L305" s="75"/>
      <c r="M305" s="75"/>
      <c r="N305" s="75"/>
      <c r="O305" s="75"/>
      <c r="P305" s="75"/>
    </row>
    <row r="306" spans="12:16" x14ac:dyDescent="0.25">
      <c r="L306" s="75"/>
      <c r="M306" s="75"/>
      <c r="N306" s="75"/>
      <c r="O306" s="75"/>
      <c r="P306" s="75"/>
    </row>
    <row r="307" spans="12:16" x14ac:dyDescent="0.25">
      <c r="L307" s="75"/>
      <c r="M307" s="75"/>
      <c r="N307" s="75"/>
      <c r="O307" s="75"/>
      <c r="P307" s="75"/>
    </row>
    <row r="308" spans="12:16" x14ac:dyDescent="0.25">
      <c r="L308" s="75"/>
      <c r="M308" s="75"/>
      <c r="N308" s="75"/>
      <c r="O308" s="75"/>
      <c r="P308" s="75"/>
    </row>
    <row r="309" spans="12:16" x14ac:dyDescent="0.25">
      <c r="L309" s="75"/>
      <c r="M309" s="75"/>
      <c r="N309" s="75"/>
      <c r="O309" s="75"/>
      <c r="P309" s="75"/>
    </row>
    <row r="310" spans="12:16" x14ac:dyDescent="0.25">
      <c r="L310" s="75"/>
      <c r="M310" s="75"/>
      <c r="N310" s="75"/>
      <c r="O310" s="75"/>
      <c r="P310" s="75"/>
    </row>
    <row r="311" spans="12:16" x14ac:dyDescent="0.25">
      <c r="L311" s="75"/>
      <c r="M311" s="75"/>
      <c r="N311" s="75"/>
      <c r="O311" s="75"/>
      <c r="P311" s="75"/>
    </row>
    <row r="312" spans="12:16" x14ac:dyDescent="0.25">
      <c r="L312" s="75"/>
      <c r="M312" s="75"/>
      <c r="N312" s="75"/>
      <c r="O312" s="75"/>
      <c r="P312" s="75"/>
    </row>
    <row r="313" spans="12:16" x14ac:dyDescent="0.25">
      <c r="L313" s="75"/>
      <c r="M313" s="75"/>
      <c r="N313" s="75"/>
      <c r="O313" s="75"/>
      <c r="P313" s="75"/>
    </row>
    <row r="314" spans="12:16" x14ac:dyDescent="0.25">
      <c r="L314" s="75"/>
      <c r="M314" s="75"/>
      <c r="N314" s="75"/>
      <c r="O314" s="75"/>
      <c r="P314" s="75"/>
    </row>
    <row r="315" spans="12:16" x14ac:dyDescent="0.25">
      <c r="L315" s="75"/>
      <c r="M315" s="75"/>
      <c r="N315" s="75"/>
      <c r="O315" s="75"/>
      <c r="P315" s="75"/>
    </row>
    <row r="316" spans="12:16" x14ac:dyDescent="0.25">
      <c r="L316" s="75"/>
      <c r="M316" s="75"/>
      <c r="N316" s="75"/>
      <c r="O316" s="75"/>
      <c r="P316" s="75"/>
    </row>
    <row r="317" spans="12:16" x14ac:dyDescent="0.25">
      <c r="L317" s="75"/>
      <c r="M317" s="75"/>
      <c r="N317" s="75"/>
      <c r="O317" s="75"/>
      <c r="P317" s="75"/>
    </row>
    <row r="318" spans="12:16" x14ac:dyDescent="0.25">
      <c r="L318" s="75"/>
      <c r="M318" s="75"/>
      <c r="N318" s="75"/>
      <c r="O318" s="75"/>
      <c r="P318" s="75"/>
    </row>
    <row r="319" spans="12:16" x14ac:dyDescent="0.25">
      <c r="L319" s="75"/>
      <c r="M319" s="75"/>
      <c r="N319" s="75"/>
      <c r="O319" s="75"/>
      <c r="P319" s="75"/>
    </row>
    <row r="320" spans="12:16" x14ac:dyDescent="0.25">
      <c r="L320" s="75"/>
      <c r="M320" s="75"/>
      <c r="N320" s="75"/>
      <c r="O320" s="75"/>
      <c r="P320" s="75"/>
    </row>
    <row r="321" spans="12:16" x14ac:dyDescent="0.25">
      <c r="L321" s="75"/>
      <c r="M321" s="75"/>
      <c r="N321" s="75"/>
      <c r="O321" s="75"/>
      <c r="P321" s="75"/>
    </row>
    <row r="322" spans="12:16" x14ac:dyDescent="0.25">
      <c r="L322" s="75"/>
      <c r="M322" s="75"/>
      <c r="N322" s="75"/>
      <c r="O322" s="75"/>
      <c r="P322" s="75"/>
    </row>
    <row r="323" spans="12:16" x14ac:dyDescent="0.25">
      <c r="L323" s="75"/>
      <c r="M323" s="75"/>
      <c r="N323" s="75"/>
      <c r="O323" s="75"/>
      <c r="P323" s="75"/>
    </row>
    <row r="324" spans="12:16" x14ac:dyDescent="0.25">
      <c r="L324" s="75"/>
      <c r="M324" s="75"/>
      <c r="N324" s="75"/>
      <c r="O324" s="75"/>
      <c r="P324" s="75"/>
    </row>
    <row r="325" spans="12:16" x14ac:dyDescent="0.25">
      <c r="L325" s="75"/>
      <c r="M325" s="75"/>
      <c r="N325" s="75"/>
      <c r="O325" s="75"/>
      <c r="P325" s="75"/>
    </row>
    <row r="326" spans="12:16" x14ac:dyDescent="0.25">
      <c r="L326" s="75"/>
      <c r="M326" s="75"/>
      <c r="N326" s="75"/>
      <c r="O326" s="75"/>
      <c r="P326" s="75"/>
    </row>
    <row r="327" spans="12:16" x14ac:dyDescent="0.25">
      <c r="L327" s="75"/>
      <c r="M327" s="75"/>
      <c r="N327" s="75"/>
      <c r="O327" s="75"/>
      <c r="P327" s="75"/>
    </row>
    <row r="328" spans="12:16" x14ac:dyDescent="0.25">
      <c r="L328" s="75"/>
      <c r="M328" s="75"/>
      <c r="N328" s="75"/>
      <c r="O328" s="75"/>
      <c r="P328" s="75"/>
    </row>
    <row r="329" spans="12:16" x14ac:dyDescent="0.25">
      <c r="L329" s="75"/>
      <c r="M329" s="75"/>
      <c r="N329" s="75"/>
      <c r="O329" s="75"/>
      <c r="P329" s="75"/>
    </row>
    <row r="330" spans="12:16" x14ac:dyDescent="0.25">
      <c r="L330" s="75"/>
      <c r="M330" s="75"/>
      <c r="N330" s="75"/>
      <c r="O330" s="75"/>
      <c r="P330" s="75"/>
    </row>
    <row r="331" spans="12:16" x14ac:dyDescent="0.25">
      <c r="L331" s="75"/>
      <c r="M331" s="75"/>
      <c r="N331" s="75"/>
      <c r="O331" s="75"/>
      <c r="P331" s="75"/>
    </row>
    <row r="332" spans="12:16" x14ac:dyDescent="0.25">
      <c r="L332" s="75"/>
      <c r="M332" s="75"/>
      <c r="N332" s="75"/>
      <c r="O332" s="75"/>
      <c r="P332" s="75"/>
    </row>
    <row r="333" spans="12:16" x14ac:dyDescent="0.25">
      <c r="L333" s="75"/>
      <c r="M333" s="75"/>
      <c r="N333" s="75"/>
      <c r="O333" s="75"/>
      <c r="P333" s="75"/>
    </row>
    <row r="334" spans="12:16" x14ac:dyDescent="0.25">
      <c r="L334" s="75"/>
      <c r="M334" s="75"/>
      <c r="N334" s="75"/>
      <c r="O334" s="75"/>
      <c r="P334" s="75"/>
    </row>
    <row r="335" spans="12:16" x14ac:dyDescent="0.25">
      <c r="L335" s="75"/>
      <c r="M335" s="75"/>
      <c r="N335" s="75"/>
      <c r="O335" s="75"/>
      <c r="P335" s="75"/>
    </row>
    <row r="336" spans="12:16" x14ac:dyDescent="0.25">
      <c r="L336" s="75"/>
      <c r="M336" s="75"/>
      <c r="N336" s="75"/>
      <c r="O336" s="75"/>
      <c r="P336" s="75"/>
    </row>
    <row r="337" spans="12:16" x14ac:dyDescent="0.25">
      <c r="L337" s="75"/>
      <c r="M337" s="75"/>
      <c r="N337" s="75"/>
      <c r="O337" s="75"/>
      <c r="P337" s="75"/>
    </row>
    <row r="338" spans="12:16" x14ac:dyDescent="0.25">
      <c r="L338" s="75"/>
      <c r="M338" s="75"/>
      <c r="N338" s="75"/>
      <c r="O338" s="75"/>
      <c r="P338" s="75"/>
    </row>
    <row r="339" spans="12:16" x14ac:dyDescent="0.25">
      <c r="L339" s="75"/>
      <c r="M339" s="75"/>
      <c r="N339" s="75"/>
      <c r="O339" s="75"/>
      <c r="P339" s="75"/>
    </row>
    <row r="340" spans="12:16" x14ac:dyDescent="0.25">
      <c r="L340" s="75"/>
      <c r="M340" s="75"/>
      <c r="N340" s="75"/>
      <c r="O340" s="75"/>
      <c r="P340" s="75"/>
    </row>
    <row r="341" spans="12:16" x14ac:dyDescent="0.25">
      <c r="L341" s="75"/>
      <c r="M341" s="75"/>
      <c r="N341" s="75"/>
      <c r="O341" s="75"/>
      <c r="P341" s="75"/>
    </row>
    <row r="342" spans="12:16" x14ac:dyDescent="0.25">
      <c r="L342" s="75"/>
      <c r="M342" s="75"/>
      <c r="N342" s="75"/>
      <c r="O342" s="75"/>
      <c r="P342" s="75"/>
    </row>
    <row r="343" spans="12:16" x14ac:dyDescent="0.25">
      <c r="L343" s="75"/>
      <c r="M343" s="75"/>
      <c r="N343" s="75"/>
      <c r="O343" s="75"/>
      <c r="P343" s="75"/>
    </row>
    <row r="344" spans="12:16" x14ac:dyDescent="0.25">
      <c r="L344" s="75"/>
      <c r="M344" s="75"/>
      <c r="N344" s="75"/>
      <c r="O344" s="75"/>
      <c r="P344" s="75"/>
    </row>
    <row r="345" spans="12:16" x14ac:dyDescent="0.25">
      <c r="L345" s="75"/>
      <c r="M345" s="75"/>
      <c r="N345" s="75"/>
      <c r="O345" s="75"/>
      <c r="P345" s="75"/>
    </row>
    <row r="346" spans="12:16" x14ac:dyDescent="0.25">
      <c r="L346" s="75"/>
      <c r="M346" s="75"/>
      <c r="N346" s="75"/>
      <c r="O346" s="75"/>
      <c r="P346" s="75"/>
    </row>
    <row r="347" spans="12:16" x14ac:dyDescent="0.25">
      <c r="L347" s="75"/>
      <c r="M347" s="75"/>
      <c r="N347" s="75"/>
      <c r="O347" s="75"/>
      <c r="P347" s="75"/>
    </row>
    <row r="348" spans="12:16" x14ac:dyDescent="0.25">
      <c r="L348" s="75"/>
      <c r="M348" s="75"/>
      <c r="N348" s="75"/>
      <c r="O348" s="75"/>
      <c r="P348" s="75"/>
    </row>
    <row r="349" spans="12:16" x14ac:dyDescent="0.25">
      <c r="L349" s="75"/>
      <c r="M349" s="75"/>
      <c r="N349" s="75"/>
      <c r="O349" s="75"/>
      <c r="P349" s="75"/>
    </row>
    <row r="350" spans="12:16" x14ac:dyDescent="0.25">
      <c r="L350" s="75"/>
      <c r="M350" s="75"/>
      <c r="N350" s="75"/>
      <c r="O350" s="75"/>
      <c r="P350" s="75"/>
    </row>
    <row r="351" spans="12:16" x14ac:dyDescent="0.25">
      <c r="L351" s="75"/>
      <c r="M351" s="75"/>
      <c r="N351" s="75"/>
      <c r="O351" s="75"/>
      <c r="P351" s="75"/>
    </row>
    <row r="352" spans="12:16" x14ac:dyDescent="0.25">
      <c r="L352" s="75"/>
      <c r="M352" s="75"/>
      <c r="N352" s="75"/>
      <c r="O352" s="75"/>
      <c r="P352" s="75"/>
    </row>
    <row r="353" spans="12:16" x14ac:dyDescent="0.25">
      <c r="L353" s="75"/>
      <c r="M353" s="75"/>
      <c r="N353" s="75"/>
      <c r="O353" s="75"/>
      <c r="P353" s="75"/>
    </row>
    <row r="354" spans="12:16" x14ac:dyDescent="0.25">
      <c r="L354" s="75"/>
      <c r="M354" s="75"/>
      <c r="N354" s="75"/>
      <c r="O354" s="75"/>
      <c r="P354" s="75"/>
    </row>
    <row r="355" spans="12:16" x14ac:dyDescent="0.25">
      <c r="L355" s="75"/>
      <c r="M355" s="75"/>
      <c r="N355" s="75"/>
      <c r="O355" s="75"/>
      <c r="P355" s="75"/>
    </row>
    <row r="356" spans="12:16" x14ac:dyDescent="0.25">
      <c r="L356" s="75"/>
      <c r="M356" s="75"/>
      <c r="N356" s="75"/>
      <c r="O356" s="75"/>
      <c r="P356" s="75"/>
    </row>
    <row r="357" spans="12:16" x14ac:dyDescent="0.25">
      <c r="L357" s="75"/>
      <c r="M357" s="75"/>
      <c r="N357" s="75"/>
      <c r="O357" s="75"/>
      <c r="P357" s="75"/>
    </row>
    <row r="358" spans="12:16" x14ac:dyDescent="0.25">
      <c r="L358" s="75"/>
      <c r="M358" s="75"/>
      <c r="N358" s="75"/>
      <c r="O358" s="75"/>
      <c r="P358" s="75"/>
    </row>
    <row r="359" spans="12:16" x14ac:dyDescent="0.25">
      <c r="L359" s="75"/>
      <c r="M359" s="75"/>
      <c r="N359" s="75"/>
      <c r="O359" s="75"/>
      <c r="P359" s="75"/>
    </row>
    <row r="360" spans="12:16" x14ac:dyDescent="0.25">
      <c r="L360" s="75"/>
      <c r="M360" s="75"/>
      <c r="N360" s="75"/>
      <c r="O360" s="75"/>
      <c r="P360" s="75"/>
    </row>
    <row r="361" spans="12:16" x14ac:dyDescent="0.25">
      <c r="L361" s="75"/>
      <c r="M361" s="75"/>
      <c r="N361" s="75"/>
      <c r="O361" s="75"/>
      <c r="P361" s="75"/>
    </row>
    <row r="362" spans="12:16" x14ac:dyDescent="0.25">
      <c r="L362" s="75"/>
      <c r="M362" s="75"/>
      <c r="N362" s="75"/>
      <c r="O362" s="75"/>
      <c r="P362" s="75"/>
    </row>
    <row r="363" spans="12:16" x14ac:dyDescent="0.25">
      <c r="L363" s="75"/>
      <c r="M363" s="75"/>
      <c r="N363" s="75"/>
      <c r="O363" s="75"/>
      <c r="P363" s="75"/>
    </row>
    <row r="364" spans="12:16" x14ac:dyDescent="0.25">
      <c r="L364" s="75"/>
      <c r="M364" s="75"/>
      <c r="N364" s="75"/>
      <c r="O364" s="75"/>
      <c r="P364" s="75"/>
    </row>
    <row r="365" spans="12:16" x14ac:dyDescent="0.25">
      <c r="L365" s="75"/>
      <c r="M365" s="75"/>
      <c r="N365" s="75"/>
      <c r="O365" s="75"/>
      <c r="P365" s="75"/>
    </row>
    <row r="366" spans="12:16" x14ac:dyDescent="0.25">
      <c r="L366" s="75"/>
      <c r="M366" s="75"/>
      <c r="N366" s="75"/>
      <c r="O366" s="75"/>
      <c r="P366" s="75"/>
    </row>
    <row r="367" spans="12:16" x14ac:dyDescent="0.25">
      <c r="L367" s="75"/>
      <c r="M367" s="75"/>
      <c r="N367" s="75"/>
      <c r="O367" s="75"/>
      <c r="P367" s="75"/>
    </row>
    <row r="368" spans="12:16" x14ac:dyDescent="0.25">
      <c r="L368" s="75"/>
      <c r="M368" s="75"/>
      <c r="N368" s="75"/>
      <c r="O368" s="75"/>
      <c r="P368" s="75"/>
    </row>
    <row r="369" spans="12:16" x14ac:dyDescent="0.25">
      <c r="L369" s="75"/>
      <c r="M369" s="75"/>
      <c r="N369" s="75"/>
      <c r="O369" s="75"/>
      <c r="P369" s="75"/>
    </row>
    <row r="370" spans="12:16" x14ac:dyDescent="0.25">
      <c r="L370" s="75"/>
      <c r="M370" s="75"/>
      <c r="N370" s="75"/>
      <c r="O370" s="75"/>
      <c r="P370" s="75"/>
    </row>
    <row r="371" spans="12:16" x14ac:dyDescent="0.25">
      <c r="L371" s="75"/>
      <c r="M371" s="75"/>
      <c r="N371" s="75"/>
      <c r="O371" s="75"/>
      <c r="P371" s="75"/>
    </row>
    <row r="372" spans="12:16" x14ac:dyDescent="0.25">
      <c r="L372" s="75"/>
      <c r="M372" s="75"/>
      <c r="N372" s="75"/>
      <c r="O372" s="75"/>
      <c r="P372" s="75"/>
    </row>
    <row r="373" spans="12:16" x14ac:dyDescent="0.25">
      <c r="L373" s="75"/>
      <c r="M373" s="75"/>
      <c r="N373" s="75"/>
      <c r="O373" s="75"/>
      <c r="P373" s="75"/>
    </row>
    <row r="374" spans="12:16" x14ac:dyDescent="0.25">
      <c r="L374" s="75"/>
      <c r="M374" s="75"/>
      <c r="N374" s="75"/>
      <c r="O374" s="75"/>
      <c r="P374" s="75"/>
    </row>
    <row r="375" spans="12:16" x14ac:dyDescent="0.25">
      <c r="L375" s="75"/>
      <c r="M375" s="75"/>
      <c r="N375" s="75"/>
      <c r="O375" s="75"/>
      <c r="P375" s="75"/>
    </row>
    <row r="376" spans="12:16" x14ac:dyDescent="0.25">
      <c r="L376" s="75"/>
      <c r="M376" s="75"/>
      <c r="N376" s="75"/>
      <c r="O376" s="75"/>
      <c r="P376" s="75"/>
    </row>
    <row r="377" spans="12:16" x14ac:dyDescent="0.25">
      <c r="L377" s="75"/>
      <c r="M377" s="75"/>
      <c r="N377" s="75"/>
      <c r="O377" s="75"/>
      <c r="P377" s="75"/>
    </row>
    <row r="378" spans="12:16" x14ac:dyDescent="0.25">
      <c r="L378" s="75"/>
      <c r="M378" s="75"/>
      <c r="N378" s="75"/>
      <c r="O378" s="75"/>
      <c r="P378" s="75"/>
    </row>
    <row r="379" spans="12:16" x14ac:dyDescent="0.25">
      <c r="L379" s="75"/>
      <c r="M379" s="75"/>
      <c r="N379" s="75"/>
      <c r="O379" s="75"/>
      <c r="P379" s="75"/>
    </row>
    <row r="380" spans="12:16" x14ac:dyDescent="0.25">
      <c r="L380" s="75"/>
      <c r="M380" s="75"/>
      <c r="N380" s="75"/>
      <c r="O380" s="75"/>
      <c r="P380" s="75"/>
    </row>
    <row r="381" spans="12:16" x14ac:dyDescent="0.25">
      <c r="L381" s="75"/>
      <c r="M381" s="75"/>
      <c r="N381" s="75"/>
      <c r="O381" s="75"/>
      <c r="P381" s="75"/>
    </row>
    <row r="382" spans="12:16" x14ac:dyDescent="0.25">
      <c r="L382" s="75"/>
      <c r="M382" s="75"/>
      <c r="N382" s="75"/>
      <c r="O382" s="75"/>
      <c r="P382" s="75"/>
    </row>
    <row r="383" spans="12:16" x14ac:dyDescent="0.25">
      <c r="L383" s="75"/>
      <c r="M383" s="75"/>
      <c r="N383" s="75"/>
      <c r="O383" s="75"/>
      <c r="P383" s="75"/>
    </row>
    <row r="384" spans="12:16" x14ac:dyDescent="0.25">
      <c r="L384" s="75"/>
      <c r="M384" s="75"/>
      <c r="N384" s="75"/>
      <c r="O384" s="75"/>
      <c r="P384" s="75"/>
    </row>
    <row r="385" spans="12:16" x14ac:dyDescent="0.25">
      <c r="L385" s="75"/>
      <c r="M385" s="75"/>
      <c r="N385" s="75"/>
      <c r="O385" s="75"/>
      <c r="P385" s="75"/>
    </row>
    <row r="386" spans="12:16" x14ac:dyDescent="0.25">
      <c r="L386" s="75"/>
      <c r="M386" s="75"/>
      <c r="N386" s="75"/>
      <c r="O386" s="75"/>
      <c r="P386" s="75"/>
    </row>
    <row r="387" spans="12:16" x14ac:dyDescent="0.25">
      <c r="L387" s="75"/>
      <c r="M387" s="75"/>
      <c r="N387" s="75"/>
      <c r="O387" s="75"/>
      <c r="P387" s="75"/>
    </row>
    <row r="388" spans="12:16" x14ac:dyDescent="0.25">
      <c r="L388" s="75"/>
      <c r="M388" s="75"/>
      <c r="N388" s="75"/>
      <c r="O388" s="75"/>
      <c r="P388" s="75"/>
    </row>
    <row r="389" spans="12:16" x14ac:dyDescent="0.25">
      <c r="L389" s="75"/>
      <c r="M389" s="75"/>
      <c r="N389" s="75"/>
      <c r="O389" s="75"/>
      <c r="P389" s="75"/>
    </row>
    <row r="390" spans="12:16" x14ac:dyDescent="0.25">
      <c r="L390" s="75"/>
      <c r="M390" s="75"/>
      <c r="N390" s="75"/>
      <c r="O390" s="75"/>
      <c r="P390" s="75"/>
    </row>
    <row r="391" spans="12:16" x14ac:dyDescent="0.25">
      <c r="L391" s="75"/>
      <c r="M391" s="75"/>
      <c r="N391" s="75"/>
      <c r="O391" s="75"/>
      <c r="P391" s="75"/>
    </row>
    <row r="392" spans="12:16" x14ac:dyDescent="0.25">
      <c r="L392" s="75"/>
      <c r="M392" s="75"/>
      <c r="N392" s="75"/>
      <c r="O392" s="75"/>
      <c r="P392" s="75"/>
    </row>
    <row r="393" spans="12:16" x14ac:dyDescent="0.25">
      <c r="L393" s="75"/>
      <c r="M393" s="75"/>
      <c r="N393" s="75"/>
      <c r="O393" s="75"/>
      <c r="P393" s="75"/>
    </row>
    <row r="394" spans="12:16" x14ac:dyDescent="0.25">
      <c r="L394" s="75"/>
      <c r="M394" s="75"/>
      <c r="N394" s="75"/>
      <c r="O394" s="75"/>
      <c r="P394" s="75"/>
    </row>
    <row r="395" spans="12:16" x14ac:dyDescent="0.25">
      <c r="L395" s="75"/>
      <c r="M395" s="75"/>
      <c r="N395" s="75"/>
      <c r="O395" s="75"/>
      <c r="P395" s="75"/>
    </row>
    <row r="396" spans="12:16" x14ac:dyDescent="0.25">
      <c r="L396" s="75"/>
      <c r="M396" s="75"/>
      <c r="N396" s="75"/>
      <c r="O396" s="75"/>
      <c r="P396" s="75"/>
    </row>
    <row r="397" spans="12:16" x14ac:dyDescent="0.25">
      <c r="L397" s="75"/>
      <c r="M397" s="75"/>
      <c r="N397" s="75"/>
      <c r="O397" s="75"/>
      <c r="P397" s="75"/>
    </row>
    <row r="398" spans="12:16" x14ac:dyDescent="0.25">
      <c r="L398" s="75"/>
      <c r="M398" s="75"/>
      <c r="N398" s="75"/>
      <c r="O398" s="75"/>
      <c r="P398" s="75"/>
    </row>
    <row r="399" spans="12:16" x14ac:dyDescent="0.25">
      <c r="L399" s="75"/>
      <c r="M399" s="75"/>
      <c r="N399" s="75"/>
      <c r="O399" s="75"/>
      <c r="P399" s="75"/>
    </row>
    <row r="400" spans="12:16" x14ac:dyDescent="0.25">
      <c r="L400" s="75"/>
      <c r="M400" s="75"/>
      <c r="N400" s="75"/>
      <c r="O400" s="75"/>
      <c r="P400" s="75"/>
    </row>
    <row r="401" spans="12:16" x14ac:dyDescent="0.25">
      <c r="L401" s="75"/>
      <c r="M401" s="75"/>
      <c r="N401" s="75"/>
      <c r="O401" s="75"/>
      <c r="P401" s="75"/>
    </row>
    <row r="402" spans="12:16" x14ac:dyDescent="0.25">
      <c r="L402" s="75"/>
      <c r="M402" s="75"/>
      <c r="N402" s="75"/>
      <c r="O402" s="75"/>
      <c r="P402" s="75"/>
    </row>
    <row r="403" spans="12:16" x14ac:dyDescent="0.25">
      <c r="L403" s="75"/>
      <c r="M403" s="75"/>
      <c r="N403" s="75"/>
      <c r="O403" s="75"/>
      <c r="P403" s="75"/>
    </row>
    <row r="404" spans="12:16" x14ac:dyDescent="0.25">
      <c r="L404" s="75"/>
      <c r="M404" s="75"/>
      <c r="N404" s="75"/>
      <c r="O404" s="75"/>
      <c r="P404" s="75"/>
    </row>
    <row r="405" spans="12:16" x14ac:dyDescent="0.25">
      <c r="L405" s="75"/>
      <c r="M405" s="75"/>
      <c r="N405" s="75"/>
      <c r="O405" s="75"/>
      <c r="P405" s="75"/>
    </row>
    <row r="406" spans="12:16" x14ac:dyDescent="0.25">
      <c r="L406" s="75"/>
      <c r="M406" s="75"/>
      <c r="N406" s="75"/>
      <c r="O406" s="75"/>
      <c r="P406" s="75"/>
    </row>
    <row r="407" spans="12:16" x14ac:dyDescent="0.25">
      <c r="L407" s="75"/>
      <c r="M407" s="75"/>
      <c r="N407" s="75"/>
      <c r="O407" s="75"/>
      <c r="P407" s="75"/>
    </row>
    <row r="408" spans="12:16" x14ac:dyDescent="0.25">
      <c r="L408" s="75"/>
      <c r="M408" s="75"/>
      <c r="N408" s="75"/>
      <c r="O408" s="75"/>
      <c r="P408" s="75"/>
    </row>
    <row r="409" spans="12:16" x14ac:dyDescent="0.25">
      <c r="L409" s="75"/>
      <c r="M409" s="75"/>
      <c r="N409" s="75"/>
      <c r="O409" s="75"/>
      <c r="P409" s="75"/>
    </row>
    <row r="410" spans="12:16" x14ac:dyDescent="0.25">
      <c r="L410" s="75"/>
      <c r="M410" s="75"/>
      <c r="N410" s="75"/>
      <c r="O410" s="75"/>
      <c r="P410" s="75"/>
    </row>
    <row r="411" spans="12:16" x14ac:dyDescent="0.25">
      <c r="L411" s="75"/>
      <c r="M411" s="75"/>
      <c r="N411" s="75"/>
      <c r="O411" s="75"/>
      <c r="P411" s="75"/>
    </row>
    <row r="412" spans="12:16" x14ac:dyDescent="0.25">
      <c r="L412" s="75"/>
      <c r="M412" s="75"/>
      <c r="N412" s="75"/>
      <c r="O412" s="75"/>
      <c r="P412" s="75"/>
    </row>
    <row r="413" spans="12:16" x14ac:dyDescent="0.25">
      <c r="L413" s="75"/>
      <c r="M413" s="75"/>
      <c r="N413" s="75"/>
      <c r="O413" s="75"/>
      <c r="P413" s="75"/>
    </row>
    <row r="414" spans="12:16" x14ac:dyDescent="0.25">
      <c r="L414" s="75"/>
      <c r="M414" s="75"/>
      <c r="N414" s="75"/>
      <c r="O414" s="75"/>
      <c r="P414" s="75"/>
    </row>
    <row r="415" spans="12:16" x14ac:dyDescent="0.25">
      <c r="L415" s="75"/>
      <c r="M415" s="75"/>
      <c r="N415" s="75"/>
      <c r="O415" s="75"/>
      <c r="P415" s="75"/>
    </row>
    <row r="416" spans="12:16" x14ac:dyDescent="0.25">
      <c r="L416" s="75"/>
      <c r="M416" s="75"/>
      <c r="N416" s="75"/>
      <c r="O416" s="75"/>
      <c r="P416" s="75"/>
    </row>
    <row r="417" spans="12:16" x14ac:dyDescent="0.25">
      <c r="L417" s="75"/>
      <c r="M417" s="75"/>
      <c r="N417" s="75"/>
      <c r="O417" s="75"/>
      <c r="P417" s="75"/>
    </row>
    <row r="418" spans="12:16" x14ac:dyDescent="0.25">
      <c r="L418" s="75"/>
      <c r="M418" s="75"/>
      <c r="N418" s="75"/>
      <c r="O418" s="75"/>
      <c r="P418" s="75"/>
    </row>
    <row r="419" spans="12:16" x14ac:dyDescent="0.25">
      <c r="L419" s="75"/>
      <c r="M419" s="75"/>
      <c r="N419" s="75"/>
      <c r="O419" s="75"/>
      <c r="P419" s="75"/>
    </row>
    <row r="420" spans="12:16" x14ac:dyDescent="0.25">
      <c r="L420" s="75"/>
      <c r="M420" s="75"/>
      <c r="N420" s="75"/>
      <c r="O420" s="75"/>
      <c r="P420" s="75"/>
    </row>
    <row r="421" spans="12:16" x14ac:dyDescent="0.25">
      <c r="L421" s="75"/>
      <c r="M421" s="75"/>
      <c r="N421" s="75"/>
      <c r="O421" s="75"/>
      <c r="P421" s="75"/>
    </row>
    <row r="422" spans="12:16" x14ac:dyDescent="0.25">
      <c r="L422" s="75"/>
      <c r="M422" s="75"/>
      <c r="N422" s="75"/>
      <c r="O422" s="75"/>
      <c r="P422" s="75"/>
    </row>
    <row r="423" spans="12:16" x14ac:dyDescent="0.25">
      <c r="L423" s="75"/>
      <c r="M423" s="75"/>
      <c r="N423" s="75"/>
      <c r="O423" s="75"/>
      <c r="P423" s="75"/>
    </row>
    <row r="424" spans="12:16" x14ac:dyDescent="0.25">
      <c r="L424" s="75"/>
      <c r="M424" s="75"/>
      <c r="N424" s="75"/>
      <c r="O424" s="75"/>
      <c r="P424" s="75"/>
    </row>
    <row r="425" spans="12:16" x14ac:dyDescent="0.25">
      <c r="L425" s="75"/>
      <c r="M425" s="75"/>
      <c r="N425" s="75"/>
      <c r="O425" s="75"/>
      <c r="P425" s="75"/>
    </row>
    <row r="426" spans="12:16" x14ac:dyDescent="0.25">
      <c r="L426" s="75"/>
      <c r="M426" s="75"/>
      <c r="N426" s="75"/>
      <c r="O426" s="75"/>
      <c r="P426" s="75"/>
    </row>
    <row r="427" spans="12:16" x14ac:dyDescent="0.25">
      <c r="L427" s="75"/>
      <c r="M427" s="75"/>
      <c r="N427" s="75"/>
      <c r="O427" s="75"/>
      <c r="P427" s="75"/>
    </row>
    <row r="428" spans="12:16" x14ac:dyDescent="0.25">
      <c r="L428" s="75"/>
      <c r="M428" s="75"/>
      <c r="N428" s="75"/>
      <c r="O428" s="75"/>
      <c r="P428" s="75"/>
    </row>
    <row r="429" spans="12:16" x14ac:dyDescent="0.25">
      <c r="L429" s="75"/>
      <c r="M429" s="75"/>
      <c r="N429" s="75"/>
      <c r="O429" s="75"/>
      <c r="P429" s="75"/>
    </row>
    <row r="430" spans="12:16" x14ac:dyDescent="0.25">
      <c r="L430" s="75"/>
      <c r="M430" s="75"/>
      <c r="N430" s="75"/>
      <c r="O430" s="75"/>
      <c r="P430" s="75"/>
    </row>
    <row r="431" spans="12:16" x14ac:dyDescent="0.25">
      <c r="L431" s="75"/>
      <c r="M431" s="75"/>
      <c r="N431" s="75"/>
      <c r="O431" s="75"/>
      <c r="P431" s="75"/>
    </row>
    <row r="432" spans="12:16" x14ac:dyDescent="0.25">
      <c r="L432" s="75"/>
      <c r="M432" s="75"/>
      <c r="N432" s="75"/>
      <c r="O432" s="75"/>
      <c r="P432" s="75"/>
    </row>
    <row r="433" spans="12:16" x14ac:dyDescent="0.25">
      <c r="L433" s="75"/>
      <c r="M433" s="75"/>
      <c r="N433" s="75"/>
      <c r="O433" s="75"/>
      <c r="P433" s="75"/>
    </row>
    <row r="434" spans="12:16" x14ac:dyDescent="0.25">
      <c r="L434" s="75"/>
      <c r="M434" s="75"/>
      <c r="N434" s="75"/>
      <c r="O434" s="75"/>
      <c r="P434" s="75"/>
    </row>
    <row r="435" spans="12:16" x14ac:dyDescent="0.25">
      <c r="L435" s="75"/>
      <c r="M435" s="75"/>
      <c r="N435" s="75"/>
      <c r="O435" s="75"/>
      <c r="P435" s="75"/>
    </row>
    <row r="436" spans="12:16" x14ac:dyDescent="0.25">
      <c r="L436" s="75"/>
      <c r="M436" s="75"/>
      <c r="N436" s="75"/>
      <c r="O436" s="75"/>
      <c r="P436" s="75"/>
    </row>
    <row r="437" spans="12:16" x14ac:dyDescent="0.25">
      <c r="L437" s="75"/>
      <c r="M437" s="75"/>
      <c r="N437" s="75"/>
      <c r="O437" s="75"/>
      <c r="P437" s="75"/>
    </row>
    <row r="438" spans="12:16" x14ac:dyDescent="0.25">
      <c r="L438" s="75"/>
      <c r="M438" s="75"/>
      <c r="N438" s="75"/>
      <c r="O438" s="75"/>
      <c r="P438" s="75"/>
    </row>
    <row r="439" spans="12:16" x14ac:dyDescent="0.25">
      <c r="L439" s="75"/>
      <c r="M439" s="75"/>
      <c r="N439" s="75"/>
      <c r="O439" s="75"/>
      <c r="P439" s="75"/>
    </row>
    <row r="440" spans="12:16" x14ac:dyDescent="0.25">
      <c r="L440" s="75"/>
      <c r="M440" s="75"/>
      <c r="N440" s="75"/>
      <c r="O440" s="75"/>
      <c r="P440" s="75"/>
    </row>
    <row r="441" spans="12:16" x14ac:dyDescent="0.25">
      <c r="L441" s="75"/>
      <c r="M441" s="75"/>
      <c r="N441" s="75"/>
      <c r="O441" s="75"/>
      <c r="P441" s="75"/>
    </row>
    <row r="442" spans="12:16" x14ac:dyDescent="0.25">
      <c r="L442" s="75"/>
      <c r="M442" s="75"/>
      <c r="N442" s="75"/>
      <c r="O442" s="75"/>
      <c r="P442" s="75"/>
    </row>
    <row r="443" spans="12:16" x14ac:dyDescent="0.25">
      <c r="L443" s="75"/>
      <c r="M443" s="75"/>
      <c r="N443" s="75"/>
      <c r="O443" s="75"/>
      <c r="P443" s="75"/>
    </row>
    <row r="444" spans="12:16" x14ac:dyDescent="0.25">
      <c r="L444" s="75"/>
      <c r="M444" s="75"/>
      <c r="N444" s="75"/>
      <c r="O444" s="75"/>
      <c r="P444" s="75"/>
    </row>
    <row r="445" spans="12:16" x14ac:dyDescent="0.25">
      <c r="L445" s="75"/>
      <c r="M445" s="75"/>
      <c r="N445" s="75"/>
      <c r="O445" s="75"/>
      <c r="P445" s="75"/>
    </row>
    <row r="446" spans="12:16" x14ac:dyDescent="0.25">
      <c r="L446" s="75"/>
      <c r="M446" s="75"/>
      <c r="N446" s="75"/>
      <c r="O446" s="75"/>
      <c r="P446" s="75"/>
    </row>
    <row r="447" spans="12:16" x14ac:dyDescent="0.25">
      <c r="L447" s="75"/>
      <c r="M447" s="75"/>
      <c r="N447" s="75"/>
      <c r="O447" s="75"/>
      <c r="P447" s="75"/>
    </row>
    <row r="448" spans="12:16" x14ac:dyDescent="0.25">
      <c r="L448" s="75"/>
      <c r="M448" s="75"/>
      <c r="N448" s="75"/>
      <c r="O448" s="75"/>
      <c r="P448" s="75"/>
    </row>
    <row r="449" spans="12:16" x14ac:dyDescent="0.25">
      <c r="L449" s="75"/>
      <c r="M449" s="75"/>
      <c r="N449" s="75"/>
      <c r="O449" s="75"/>
      <c r="P449" s="75"/>
    </row>
    <row r="450" spans="12:16" x14ac:dyDescent="0.25">
      <c r="L450" s="75"/>
      <c r="M450" s="75"/>
      <c r="N450" s="75"/>
      <c r="O450" s="75"/>
      <c r="P450" s="75"/>
    </row>
    <row r="451" spans="12:16" x14ac:dyDescent="0.25">
      <c r="L451" s="75"/>
      <c r="M451" s="75"/>
      <c r="N451" s="75"/>
      <c r="O451" s="75"/>
      <c r="P451" s="75"/>
    </row>
    <row r="452" spans="12:16" x14ac:dyDescent="0.25">
      <c r="L452" s="75"/>
      <c r="M452" s="75"/>
      <c r="N452" s="75"/>
      <c r="O452" s="75"/>
      <c r="P452" s="75"/>
    </row>
    <row r="453" spans="12:16" x14ac:dyDescent="0.25">
      <c r="L453" s="75"/>
      <c r="M453" s="75"/>
      <c r="N453" s="75"/>
      <c r="O453" s="75"/>
      <c r="P453" s="75"/>
    </row>
    <row r="454" spans="12:16" x14ac:dyDescent="0.25">
      <c r="L454" s="75"/>
      <c r="M454" s="75"/>
      <c r="N454" s="75"/>
      <c r="O454" s="75"/>
      <c r="P454" s="75"/>
    </row>
    <row r="455" spans="12:16" x14ac:dyDescent="0.25">
      <c r="L455" s="75"/>
      <c r="M455" s="75"/>
      <c r="N455" s="75"/>
      <c r="O455" s="75"/>
      <c r="P455" s="75"/>
    </row>
    <row r="456" spans="12:16" x14ac:dyDescent="0.25">
      <c r="L456" s="75"/>
      <c r="M456" s="75"/>
      <c r="N456" s="75"/>
      <c r="O456" s="75"/>
      <c r="P456" s="75"/>
    </row>
    <row r="457" spans="12:16" x14ac:dyDescent="0.25">
      <c r="L457" s="75"/>
      <c r="M457" s="75"/>
      <c r="N457" s="75"/>
      <c r="O457" s="75"/>
      <c r="P457" s="75"/>
    </row>
    <row r="458" spans="12:16" x14ac:dyDescent="0.25">
      <c r="L458" s="75"/>
      <c r="M458" s="75"/>
      <c r="N458" s="75"/>
      <c r="O458" s="75"/>
      <c r="P458" s="75"/>
    </row>
    <row r="459" spans="12:16" x14ac:dyDescent="0.25">
      <c r="L459" s="75"/>
      <c r="M459" s="75"/>
      <c r="N459" s="75"/>
      <c r="O459" s="75"/>
      <c r="P459" s="75"/>
    </row>
    <row r="460" spans="12:16" x14ac:dyDescent="0.25">
      <c r="L460" s="75"/>
      <c r="M460" s="75"/>
      <c r="N460" s="75"/>
      <c r="O460" s="75"/>
      <c r="P460" s="75"/>
    </row>
    <row r="461" spans="12:16" x14ac:dyDescent="0.25">
      <c r="L461" s="75"/>
      <c r="M461" s="75"/>
      <c r="N461" s="75"/>
      <c r="O461" s="75"/>
      <c r="P461" s="75"/>
    </row>
    <row r="462" spans="12:16" x14ac:dyDescent="0.25">
      <c r="L462" s="75"/>
      <c r="M462" s="75"/>
      <c r="N462" s="75"/>
      <c r="O462" s="75"/>
      <c r="P462" s="75"/>
    </row>
    <row r="463" spans="12:16" x14ac:dyDescent="0.25">
      <c r="L463" s="75"/>
      <c r="M463" s="75"/>
      <c r="N463" s="75"/>
      <c r="O463" s="75"/>
      <c r="P463" s="75"/>
    </row>
    <row r="464" spans="12:16" x14ac:dyDescent="0.25">
      <c r="L464" s="75"/>
      <c r="M464" s="75"/>
      <c r="N464" s="75"/>
      <c r="O464" s="75"/>
      <c r="P464" s="75"/>
    </row>
    <row r="465" spans="12:16" x14ac:dyDescent="0.25">
      <c r="L465" s="75"/>
      <c r="M465" s="75"/>
      <c r="N465" s="75"/>
      <c r="O465" s="75"/>
      <c r="P465" s="75"/>
    </row>
    <row r="466" spans="12:16" x14ac:dyDescent="0.25">
      <c r="L466" s="75"/>
      <c r="M466" s="75"/>
      <c r="N466" s="75"/>
      <c r="O466" s="75"/>
      <c r="P466" s="75"/>
    </row>
    <row r="467" spans="12:16" x14ac:dyDescent="0.25">
      <c r="L467" s="75"/>
      <c r="M467" s="75"/>
      <c r="N467" s="75"/>
      <c r="O467" s="75"/>
      <c r="P467" s="75"/>
    </row>
    <row r="468" spans="12:16" x14ac:dyDescent="0.25">
      <c r="L468" s="75"/>
      <c r="M468" s="75"/>
      <c r="N468" s="75"/>
      <c r="O468" s="75"/>
      <c r="P468" s="75"/>
    </row>
    <row r="469" spans="12:16" x14ac:dyDescent="0.25">
      <c r="L469" s="75"/>
      <c r="M469" s="75"/>
      <c r="N469" s="75"/>
      <c r="O469" s="75"/>
      <c r="P469" s="75"/>
    </row>
    <row r="470" spans="12:16" x14ac:dyDescent="0.25">
      <c r="L470" s="75"/>
      <c r="M470" s="75"/>
      <c r="N470" s="75"/>
      <c r="O470" s="75"/>
      <c r="P470" s="75"/>
    </row>
    <row r="471" spans="12:16" x14ac:dyDescent="0.25">
      <c r="L471" s="75"/>
      <c r="M471" s="75"/>
      <c r="N471" s="75"/>
      <c r="O471" s="75"/>
      <c r="P471" s="75"/>
    </row>
    <row r="472" spans="12:16" x14ac:dyDescent="0.25">
      <c r="L472" s="75"/>
      <c r="M472" s="75"/>
      <c r="N472" s="75"/>
      <c r="O472" s="75"/>
      <c r="P472" s="75"/>
    </row>
    <row r="473" spans="12:16" x14ac:dyDescent="0.25">
      <c r="L473" s="75"/>
      <c r="M473" s="75"/>
      <c r="N473" s="75"/>
      <c r="O473" s="75"/>
      <c r="P473" s="75"/>
    </row>
    <row r="474" spans="12:16" x14ac:dyDescent="0.25">
      <c r="L474" s="75"/>
      <c r="M474" s="75"/>
      <c r="N474" s="75"/>
      <c r="O474" s="75"/>
      <c r="P474" s="75"/>
    </row>
    <row r="475" spans="12:16" x14ac:dyDescent="0.25">
      <c r="L475" s="75"/>
      <c r="M475" s="75"/>
      <c r="N475" s="75"/>
      <c r="O475" s="75"/>
      <c r="P475" s="75"/>
    </row>
    <row r="476" spans="12:16" x14ac:dyDescent="0.25">
      <c r="L476" s="75"/>
      <c r="M476" s="75"/>
      <c r="N476" s="75"/>
      <c r="O476" s="75"/>
      <c r="P476" s="75"/>
    </row>
    <row r="477" spans="12:16" x14ac:dyDescent="0.25">
      <c r="L477" s="75"/>
      <c r="M477" s="75"/>
      <c r="N477" s="75"/>
      <c r="O477" s="75"/>
      <c r="P477" s="75"/>
    </row>
    <row r="478" spans="12:16" x14ac:dyDescent="0.25">
      <c r="L478" s="75"/>
      <c r="M478" s="75"/>
      <c r="N478" s="75"/>
      <c r="O478" s="75"/>
      <c r="P478" s="75"/>
    </row>
    <row r="479" spans="12:16" x14ac:dyDescent="0.25">
      <c r="L479" s="75"/>
      <c r="M479" s="75"/>
      <c r="N479" s="75"/>
      <c r="O479" s="75"/>
      <c r="P479" s="75"/>
    </row>
    <row r="480" spans="12:16" x14ac:dyDescent="0.25">
      <c r="L480" s="75"/>
      <c r="M480" s="75"/>
      <c r="N480" s="75"/>
      <c r="O480" s="75"/>
      <c r="P480" s="75"/>
    </row>
    <row r="481" spans="12:16" x14ac:dyDescent="0.25">
      <c r="L481" s="75"/>
      <c r="M481" s="75"/>
      <c r="N481" s="75"/>
      <c r="O481" s="75"/>
      <c r="P481" s="75"/>
    </row>
    <row r="482" spans="12:16" x14ac:dyDescent="0.25">
      <c r="L482" s="75"/>
      <c r="M482" s="75"/>
      <c r="N482" s="75"/>
      <c r="O482" s="75"/>
      <c r="P482" s="75"/>
    </row>
    <row r="483" spans="12:16" x14ac:dyDescent="0.25">
      <c r="L483" s="75"/>
      <c r="M483" s="75"/>
      <c r="N483" s="75"/>
      <c r="O483" s="75"/>
      <c r="P483" s="75"/>
    </row>
    <row r="484" spans="12:16" x14ac:dyDescent="0.25">
      <c r="L484" s="75"/>
      <c r="M484" s="75"/>
      <c r="N484" s="75"/>
      <c r="O484" s="75"/>
      <c r="P484" s="75"/>
    </row>
    <row r="485" spans="12:16" x14ac:dyDescent="0.25">
      <c r="L485" s="75"/>
      <c r="M485" s="75"/>
      <c r="N485" s="75"/>
      <c r="O485" s="75"/>
      <c r="P485" s="75"/>
    </row>
    <row r="486" spans="12:16" x14ac:dyDescent="0.25">
      <c r="L486" s="75"/>
      <c r="M486" s="75"/>
      <c r="N486" s="75"/>
      <c r="O486" s="75"/>
      <c r="P486" s="75"/>
    </row>
    <row r="487" spans="12:16" x14ac:dyDescent="0.25">
      <c r="L487" s="75"/>
      <c r="M487" s="75"/>
      <c r="N487" s="75"/>
      <c r="O487" s="75"/>
      <c r="P487" s="75"/>
    </row>
    <row r="488" spans="12:16" x14ac:dyDescent="0.25">
      <c r="L488" s="75"/>
      <c r="M488" s="75"/>
      <c r="N488" s="75"/>
      <c r="O488" s="75"/>
      <c r="P488" s="75"/>
    </row>
    <row r="489" spans="12:16" x14ac:dyDescent="0.25">
      <c r="L489" s="75"/>
      <c r="M489" s="75"/>
      <c r="N489" s="75"/>
      <c r="O489" s="75"/>
      <c r="P489" s="75"/>
    </row>
    <row r="490" spans="12:16" x14ac:dyDescent="0.25">
      <c r="L490" s="75"/>
      <c r="M490" s="75"/>
      <c r="N490" s="75"/>
      <c r="O490" s="75"/>
      <c r="P490" s="75"/>
    </row>
    <row r="491" spans="12:16" x14ac:dyDescent="0.25">
      <c r="L491" s="75"/>
      <c r="M491" s="75"/>
      <c r="N491" s="75"/>
      <c r="O491" s="75"/>
      <c r="P491" s="75"/>
    </row>
    <row r="492" spans="12:16" x14ac:dyDescent="0.25">
      <c r="L492" s="75"/>
      <c r="M492" s="75"/>
      <c r="N492" s="75"/>
      <c r="O492" s="75"/>
      <c r="P492" s="75"/>
    </row>
    <row r="493" spans="12:16" x14ac:dyDescent="0.25">
      <c r="L493" s="75"/>
      <c r="M493" s="75"/>
      <c r="N493" s="75"/>
      <c r="O493" s="75"/>
      <c r="P493" s="75"/>
    </row>
    <row r="494" spans="12:16" x14ac:dyDescent="0.25">
      <c r="L494" s="75"/>
      <c r="M494" s="75"/>
      <c r="N494" s="75"/>
      <c r="O494" s="75"/>
      <c r="P494" s="75"/>
    </row>
    <row r="495" spans="12:16" x14ac:dyDescent="0.25">
      <c r="L495" s="75"/>
      <c r="M495" s="75"/>
      <c r="N495" s="75"/>
      <c r="O495" s="75"/>
      <c r="P495" s="75"/>
    </row>
    <row r="496" spans="12:16" x14ac:dyDescent="0.25">
      <c r="L496" s="75"/>
      <c r="M496" s="75"/>
      <c r="N496" s="75"/>
      <c r="O496" s="75"/>
      <c r="P496" s="75"/>
    </row>
    <row r="497" spans="12:16" x14ac:dyDescent="0.25">
      <c r="L497" s="75"/>
      <c r="M497" s="75"/>
      <c r="N497" s="75"/>
      <c r="O497" s="75"/>
      <c r="P497" s="75"/>
    </row>
    <row r="498" spans="12:16" x14ac:dyDescent="0.25">
      <c r="L498" s="75"/>
      <c r="M498" s="75"/>
      <c r="N498" s="75"/>
      <c r="O498" s="75"/>
      <c r="P498" s="75"/>
    </row>
    <row r="499" spans="12:16" x14ac:dyDescent="0.25">
      <c r="L499" s="75"/>
      <c r="M499" s="75"/>
      <c r="N499" s="75"/>
      <c r="O499" s="75"/>
      <c r="P499" s="75"/>
    </row>
    <row r="500" spans="12:16" x14ac:dyDescent="0.25">
      <c r="L500" s="75"/>
      <c r="M500" s="75"/>
      <c r="N500" s="75"/>
      <c r="O500" s="75"/>
      <c r="P500" s="75"/>
    </row>
    <row r="501" spans="12:16" x14ac:dyDescent="0.25">
      <c r="L501" s="75"/>
      <c r="M501" s="75"/>
      <c r="N501" s="75"/>
      <c r="O501" s="75"/>
      <c r="P501" s="75"/>
    </row>
    <row r="502" spans="12:16" x14ac:dyDescent="0.25">
      <c r="L502" s="75"/>
      <c r="M502" s="75"/>
      <c r="N502" s="75"/>
      <c r="O502" s="75"/>
      <c r="P502" s="75"/>
    </row>
    <row r="503" spans="12:16" x14ac:dyDescent="0.25">
      <c r="L503" s="75"/>
      <c r="M503" s="75"/>
      <c r="N503" s="75"/>
      <c r="O503" s="75"/>
      <c r="P503" s="75"/>
    </row>
    <row r="504" spans="12:16" x14ac:dyDescent="0.25">
      <c r="L504" s="75"/>
      <c r="M504" s="75"/>
      <c r="N504" s="75"/>
      <c r="O504" s="75"/>
      <c r="P504" s="75"/>
    </row>
    <row r="505" spans="12:16" x14ac:dyDescent="0.25">
      <c r="L505" s="75"/>
      <c r="M505" s="75"/>
      <c r="N505" s="75"/>
      <c r="O505" s="75"/>
      <c r="P505" s="75"/>
    </row>
    <row r="506" spans="12:16" x14ac:dyDescent="0.25">
      <c r="L506" s="75"/>
      <c r="M506" s="75"/>
      <c r="N506" s="75"/>
      <c r="O506" s="75"/>
      <c r="P506" s="75"/>
    </row>
    <row r="507" spans="12:16" x14ac:dyDescent="0.25">
      <c r="L507" s="75"/>
      <c r="M507" s="75"/>
      <c r="N507" s="75"/>
      <c r="O507" s="75"/>
      <c r="P507" s="75"/>
    </row>
    <row r="508" spans="12:16" x14ac:dyDescent="0.25">
      <c r="L508" s="75"/>
      <c r="M508" s="75"/>
      <c r="N508" s="75"/>
      <c r="O508" s="75"/>
      <c r="P508" s="75"/>
    </row>
    <row r="509" spans="12:16" x14ac:dyDescent="0.25">
      <c r="L509" s="75"/>
      <c r="M509" s="75"/>
      <c r="N509" s="75"/>
      <c r="O509" s="75"/>
      <c r="P509" s="75"/>
    </row>
    <row r="510" spans="12:16" x14ac:dyDescent="0.25">
      <c r="L510" s="75"/>
      <c r="M510" s="75"/>
      <c r="N510" s="75"/>
      <c r="O510" s="75"/>
      <c r="P510" s="75"/>
    </row>
    <row r="511" spans="12:16" x14ac:dyDescent="0.25">
      <c r="L511" s="75"/>
      <c r="M511" s="75"/>
      <c r="N511" s="75"/>
      <c r="O511" s="75"/>
      <c r="P511" s="75"/>
    </row>
    <row r="512" spans="12:16" x14ac:dyDescent="0.25">
      <c r="L512" s="75"/>
      <c r="M512" s="75"/>
      <c r="N512" s="75"/>
      <c r="O512" s="75"/>
      <c r="P512" s="75"/>
    </row>
    <row r="513" spans="12:16" x14ac:dyDescent="0.25">
      <c r="L513" s="75"/>
      <c r="M513" s="75"/>
      <c r="N513" s="75"/>
      <c r="O513" s="75"/>
      <c r="P513" s="75"/>
    </row>
    <row r="514" spans="12:16" x14ac:dyDescent="0.25">
      <c r="L514" s="75"/>
      <c r="M514" s="75"/>
      <c r="N514" s="75"/>
      <c r="O514" s="75"/>
      <c r="P514" s="75"/>
    </row>
    <row r="515" spans="12:16" x14ac:dyDescent="0.25">
      <c r="L515" s="75"/>
      <c r="M515" s="75"/>
      <c r="N515" s="75"/>
      <c r="O515" s="75"/>
      <c r="P515" s="75"/>
    </row>
    <row r="516" spans="12:16" x14ac:dyDescent="0.25">
      <c r="L516" s="75"/>
      <c r="M516" s="75"/>
      <c r="N516" s="75"/>
      <c r="O516" s="75"/>
      <c r="P516" s="75"/>
    </row>
    <row r="517" spans="12:16" x14ac:dyDescent="0.25">
      <c r="L517" s="75"/>
      <c r="M517" s="75"/>
      <c r="N517" s="75"/>
      <c r="O517" s="75"/>
      <c r="P517" s="75"/>
    </row>
    <row r="518" spans="12:16" x14ac:dyDescent="0.25">
      <c r="L518" s="75"/>
      <c r="M518" s="75"/>
      <c r="N518" s="75"/>
      <c r="O518" s="75"/>
      <c r="P518" s="75"/>
    </row>
    <row r="519" spans="12:16" x14ac:dyDescent="0.25">
      <c r="L519" s="75"/>
      <c r="M519" s="75"/>
      <c r="N519" s="75"/>
      <c r="O519" s="75"/>
      <c r="P519" s="75"/>
    </row>
    <row r="520" spans="12:16" x14ac:dyDescent="0.25">
      <c r="L520" s="75"/>
      <c r="M520" s="75"/>
      <c r="N520" s="75"/>
      <c r="O520" s="75"/>
      <c r="P520" s="75"/>
    </row>
    <row r="521" spans="12:16" x14ac:dyDescent="0.25">
      <c r="L521" s="75"/>
      <c r="M521" s="75"/>
      <c r="N521" s="75"/>
      <c r="O521" s="75"/>
      <c r="P521" s="75"/>
    </row>
    <row r="522" spans="12:16" x14ac:dyDescent="0.25">
      <c r="L522" s="75"/>
      <c r="M522" s="75"/>
      <c r="N522" s="75"/>
      <c r="O522" s="75"/>
      <c r="P522" s="75"/>
    </row>
    <row r="523" spans="12:16" x14ac:dyDescent="0.25">
      <c r="L523" s="75"/>
      <c r="M523" s="75"/>
      <c r="N523" s="75"/>
      <c r="O523" s="75"/>
      <c r="P523" s="75"/>
    </row>
    <row r="524" spans="12:16" x14ac:dyDescent="0.25">
      <c r="L524" s="75"/>
      <c r="M524" s="75"/>
      <c r="N524" s="75"/>
      <c r="O524" s="75"/>
      <c r="P524" s="75"/>
    </row>
    <row r="525" spans="12:16" x14ac:dyDescent="0.25">
      <c r="L525" s="75"/>
      <c r="M525" s="75"/>
      <c r="N525" s="75"/>
      <c r="O525" s="75"/>
      <c r="P525" s="75"/>
    </row>
    <row r="526" spans="12:16" x14ac:dyDescent="0.25">
      <c r="L526" s="75"/>
      <c r="M526" s="75"/>
      <c r="N526" s="75"/>
      <c r="O526" s="75"/>
      <c r="P526" s="75"/>
    </row>
    <row r="527" spans="12:16" x14ac:dyDescent="0.25">
      <c r="L527" s="75"/>
      <c r="M527" s="75"/>
      <c r="N527" s="75"/>
      <c r="O527" s="75"/>
      <c r="P527" s="75"/>
    </row>
    <row r="528" spans="12:16" x14ac:dyDescent="0.25">
      <c r="L528" s="75"/>
      <c r="M528" s="75"/>
      <c r="N528" s="75"/>
      <c r="O528" s="75"/>
      <c r="P528" s="75"/>
    </row>
    <row r="529" spans="12:16" x14ac:dyDescent="0.25">
      <c r="L529" s="75"/>
      <c r="M529" s="75"/>
      <c r="N529" s="75"/>
      <c r="O529" s="75"/>
      <c r="P529" s="75"/>
    </row>
    <row r="530" spans="12:16" x14ac:dyDescent="0.25">
      <c r="L530" s="75"/>
      <c r="M530" s="75"/>
      <c r="N530" s="75"/>
      <c r="O530" s="75"/>
      <c r="P530" s="75"/>
    </row>
    <row r="531" spans="12:16" x14ac:dyDescent="0.25">
      <c r="L531" s="75"/>
      <c r="M531" s="75"/>
      <c r="N531" s="75"/>
      <c r="O531" s="75"/>
      <c r="P531" s="75"/>
    </row>
    <row r="532" spans="12:16" x14ac:dyDescent="0.25">
      <c r="L532" s="75"/>
      <c r="M532" s="75"/>
      <c r="N532" s="75"/>
      <c r="O532" s="75"/>
      <c r="P532" s="75"/>
    </row>
    <row r="533" spans="12:16" x14ac:dyDescent="0.25">
      <c r="L533" s="75"/>
      <c r="M533" s="75"/>
      <c r="N533" s="75"/>
      <c r="O533" s="75"/>
      <c r="P533" s="75"/>
    </row>
    <row r="534" spans="12:16" x14ac:dyDescent="0.25">
      <c r="L534" s="75"/>
      <c r="M534" s="75"/>
      <c r="N534" s="75"/>
      <c r="O534" s="75"/>
      <c r="P534" s="75"/>
    </row>
    <row r="535" spans="12:16" x14ac:dyDescent="0.25">
      <c r="L535" s="75"/>
      <c r="M535" s="75"/>
      <c r="N535" s="75"/>
      <c r="O535" s="75"/>
      <c r="P535" s="75"/>
    </row>
    <row r="536" spans="12:16" x14ac:dyDescent="0.25">
      <c r="L536" s="75"/>
      <c r="M536" s="75"/>
      <c r="N536" s="75"/>
      <c r="O536" s="75"/>
      <c r="P536" s="75"/>
    </row>
    <row r="537" spans="12:16" x14ac:dyDescent="0.25">
      <c r="L537" s="75"/>
      <c r="M537" s="75"/>
      <c r="N537" s="75"/>
      <c r="O537" s="75"/>
      <c r="P537" s="75"/>
    </row>
    <row r="538" spans="12:16" x14ac:dyDescent="0.25">
      <c r="L538" s="75"/>
      <c r="M538" s="75"/>
      <c r="N538" s="75"/>
      <c r="O538" s="75"/>
      <c r="P538" s="75"/>
    </row>
    <row r="539" spans="12:16" x14ac:dyDescent="0.25">
      <c r="L539" s="75"/>
      <c r="M539" s="75"/>
      <c r="N539" s="75"/>
      <c r="O539" s="75"/>
      <c r="P539" s="75"/>
    </row>
    <row r="540" spans="12:16" x14ac:dyDescent="0.25">
      <c r="L540" s="75"/>
      <c r="M540" s="75"/>
      <c r="N540" s="75"/>
      <c r="O540" s="75"/>
      <c r="P540" s="75"/>
    </row>
    <row r="541" spans="12:16" x14ac:dyDescent="0.25">
      <c r="L541" s="75"/>
      <c r="M541" s="75"/>
      <c r="N541" s="75"/>
      <c r="O541" s="75"/>
      <c r="P541" s="75"/>
    </row>
    <row r="542" spans="12:16" x14ac:dyDescent="0.25">
      <c r="L542" s="75"/>
      <c r="M542" s="75"/>
      <c r="N542" s="75"/>
      <c r="O542" s="75"/>
      <c r="P542" s="75"/>
    </row>
    <row r="543" spans="12:16" x14ac:dyDescent="0.25">
      <c r="L543" s="75"/>
      <c r="M543" s="75"/>
      <c r="N543" s="75"/>
      <c r="O543" s="75"/>
      <c r="P543" s="75"/>
    </row>
    <row r="544" spans="12:16" x14ac:dyDescent="0.25">
      <c r="L544" s="75"/>
      <c r="M544" s="75"/>
      <c r="N544" s="75"/>
      <c r="O544" s="75"/>
      <c r="P544" s="75"/>
    </row>
    <row r="545" spans="12:16" x14ac:dyDescent="0.25">
      <c r="L545" s="75"/>
      <c r="M545" s="75"/>
      <c r="N545" s="75"/>
      <c r="O545" s="75"/>
      <c r="P545" s="75"/>
    </row>
    <row r="546" spans="12:16" x14ac:dyDescent="0.25">
      <c r="L546" s="75"/>
      <c r="M546" s="75"/>
      <c r="N546" s="75"/>
      <c r="O546" s="75"/>
      <c r="P546" s="75"/>
    </row>
    <row r="547" spans="12:16" x14ac:dyDescent="0.25">
      <c r="L547" s="75"/>
      <c r="M547" s="75"/>
      <c r="N547" s="75"/>
      <c r="O547" s="75"/>
      <c r="P547" s="75"/>
    </row>
    <row r="548" spans="12:16" x14ac:dyDescent="0.25">
      <c r="L548" s="75"/>
      <c r="M548" s="75"/>
      <c r="N548" s="75"/>
      <c r="O548" s="75"/>
      <c r="P548" s="75"/>
    </row>
    <row r="549" spans="12:16" x14ac:dyDescent="0.25">
      <c r="L549" s="75"/>
      <c r="M549" s="75"/>
      <c r="N549" s="75"/>
      <c r="O549" s="75"/>
      <c r="P549" s="75"/>
    </row>
    <row r="550" spans="12:16" x14ac:dyDescent="0.25">
      <c r="L550" s="75"/>
      <c r="M550" s="75"/>
      <c r="N550" s="75"/>
      <c r="O550" s="75"/>
      <c r="P550" s="75"/>
    </row>
    <row r="551" spans="12:16" x14ac:dyDescent="0.25">
      <c r="L551" s="75"/>
      <c r="M551" s="75"/>
      <c r="N551" s="75"/>
      <c r="O551" s="75"/>
      <c r="P551" s="75"/>
    </row>
    <row r="552" spans="12:16" x14ac:dyDescent="0.25">
      <c r="L552" s="75"/>
      <c r="M552" s="75"/>
      <c r="N552" s="75"/>
      <c r="O552" s="75"/>
      <c r="P552" s="75"/>
    </row>
    <row r="553" spans="12:16" x14ac:dyDescent="0.25">
      <c r="L553" s="75"/>
      <c r="M553" s="75"/>
      <c r="N553" s="75"/>
      <c r="O553" s="75"/>
      <c r="P553" s="75"/>
    </row>
    <row r="554" spans="12:16" x14ac:dyDescent="0.25">
      <c r="L554" s="75"/>
      <c r="M554" s="75"/>
      <c r="N554" s="75"/>
      <c r="O554" s="75"/>
      <c r="P554" s="75"/>
    </row>
    <row r="555" spans="12:16" x14ac:dyDescent="0.25">
      <c r="L555" s="75"/>
      <c r="M555" s="75"/>
      <c r="N555" s="75"/>
      <c r="O555" s="75"/>
      <c r="P555" s="75"/>
    </row>
    <row r="556" spans="12:16" x14ac:dyDescent="0.25">
      <c r="L556" s="75"/>
      <c r="M556" s="75"/>
      <c r="N556" s="75"/>
      <c r="O556" s="75"/>
      <c r="P556" s="75"/>
    </row>
    <row r="557" spans="12:16" x14ac:dyDescent="0.25">
      <c r="L557" s="75"/>
      <c r="M557" s="75"/>
      <c r="N557" s="75"/>
      <c r="O557" s="75"/>
      <c r="P557" s="75"/>
    </row>
    <row r="558" spans="12:16" x14ac:dyDescent="0.25">
      <c r="L558" s="75"/>
      <c r="M558" s="75"/>
      <c r="N558" s="75"/>
      <c r="O558" s="75"/>
      <c r="P558" s="75"/>
    </row>
    <row r="559" spans="12:16" x14ac:dyDescent="0.25">
      <c r="L559" s="75"/>
      <c r="M559" s="75"/>
      <c r="N559" s="75"/>
      <c r="O559" s="75"/>
      <c r="P559" s="75"/>
    </row>
    <row r="560" spans="12:16" x14ac:dyDescent="0.25">
      <c r="L560" s="75"/>
      <c r="M560" s="75"/>
      <c r="N560" s="75"/>
      <c r="O560" s="75"/>
      <c r="P560" s="75"/>
    </row>
    <row r="561" spans="12:16" x14ac:dyDescent="0.25">
      <c r="L561" s="75"/>
      <c r="M561" s="75"/>
      <c r="N561" s="75"/>
      <c r="O561" s="75"/>
      <c r="P561" s="75"/>
    </row>
    <row r="562" spans="12:16" x14ac:dyDescent="0.25">
      <c r="L562" s="75"/>
      <c r="M562" s="75"/>
      <c r="N562" s="75"/>
      <c r="O562" s="75"/>
      <c r="P562" s="75"/>
    </row>
    <row r="563" spans="12:16" x14ac:dyDescent="0.25">
      <c r="L563" s="75"/>
      <c r="M563" s="75"/>
      <c r="N563" s="75"/>
      <c r="O563" s="75"/>
      <c r="P563" s="75"/>
    </row>
    <row r="564" spans="12:16" x14ac:dyDescent="0.25">
      <c r="L564" s="75"/>
      <c r="M564" s="75"/>
      <c r="N564" s="75"/>
      <c r="O564" s="75"/>
      <c r="P564" s="75"/>
    </row>
    <row r="565" spans="12:16" x14ac:dyDescent="0.25">
      <c r="L565" s="75"/>
      <c r="M565" s="75"/>
      <c r="N565" s="75"/>
      <c r="O565" s="75"/>
      <c r="P565" s="75"/>
    </row>
    <row r="566" spans="12:16" x14ac:dyDescent="0.25">
      <c r="L566" s="75"/>
      <c r="M566" s="75"/>
      <c r="N566" s="75"/>
      <c r="O566" s="75"/>
      <c r="P566" s="75"/>
    </row>
    <row r="567" spans="12:16" x14ac:dyDescent="0.25">
      <c r="L567" s="75"/>
      <c r="M567" s="75"/>
      <c r="N567" s="75"/>
      <c r="O567" s="75"/>
      <c r="P567" s="75"/>
    </row>
    <row r="568" spans="12:16" x14ac:dyDescent="0.25">
      <c r="L568" s="75"/>
      <c r="M568" s="75"/>
      <c r="N568" s="75"/>
      <c r="O568" s="75"/>
      <c r="P568" s="75"/>
    </row>
    <row r="569" spans="12:16" x14ac:dyDescent="0.25">
      <c r="L569" s="75"/>
      <c r="M569" s="75"/>
      <c r="N569" s="75"/>
      <c r="O569" s="75"/>
      <c r="P569" s="75"/>
    </row>
    <row r="570" spans="12:16" x14ac:dyDescent="0.25">
      <c r="L570" s="75"/>
      <c r="M570" s="75"/>
      <c r="N570" s="75"/>
      <c r="O570" s="75"/>
      <c r="P570" s="75"/>
    </row>
    <row r="571" spans="12:16" x14ac:dyDescent="0.25">
      <c r="L571" s="75"/>
      <c r="M571" s="75"/>
      <c r="N571" s="75"/>
      <c r="O571" s="75"/>
      <c r="P571" s="75"/>
    </row>
    <row r="572" spans="12:16" x14ac:dyDescent="0.25">
      <c r="L572" s="75"/>
      <c r="M572" s="75"/>
      <c r="N572" s="75"/>
      <c r="O572" s="75"/>
      <c r="P572" s="75"/>
    </row>
    <row r="573" spans="12:16" x14ac:dyDescent="0.25">
      <c r="L573" s="75"/>
      <c r="M573" s="75"/>
      <c r="N573" s="75"/>
      <c r="O573" s="75"/>
      <c r="P573" s="75"/>
    </row>
    <row r="574" spans="12:16" x14ac:dyDescent="0.25">
      <c r="L574" s="75"/>
      <c r="M574" s="75"/>
      <c r="N574" s="75"/>
      <c r="O574" s="75"/>
      <c r="P574" s="75"/>
    </row>
    <row r="575" spans="12:16" x14ac:dyDescent="0.25">
      <c r="L575" s="75"/>
      <c r="M575" s="75"/>
      <c r="N575" s="75"/>
      <c r="O575" s="75"/>
      <c r="P575" s="75"/>
    </row>
    <row r="576" spans="12:16" x14ac:dyDescent="0.25">
      <c r="L576" s="75"/>
      <c r="M576" s="75"/>
      <c r="N576" s="75"/>
      <c r="O576" s="75"/>
      <c r="P576" s="75"/>
    </row>
    <row r="577" spans="12:16" x14ac:dyDescent="0.25">
      <c r="L577" s="75"/>
      <c r="M577" s="75"/>
      <c r="N577" s="75"/>
      <c r="O577" s="75"/>
      <c r="P577" s="75"/>
    </row>
    <row r="578" spans="12:16" x14ac:dyDescent="0.25">
      <c r="L578" s="75"/>
      <c r="M578" s="75"/>
      <c r="N578" s="75"/>
      <c r="O578" s="75"/>
      <c r="P578" s="75"/>
    </row>
    <row r="579" spans="12:16" x14ac:dyDescent="0.25">
      <c r="L579" s="75"/>
      <c r="M579" s="75"/>
      <c r="N579" s="75"/>
      <c r="O579" s="75"/>
      <c r="P579" s="75"/>
    </row>
    <row r="580" spans="12:16" x14ac:dyDescent="0.25">
      <c r="L580" s="75"/>
      <c r="M580" s="75"/>
      <c r="N580" s="75"/>
      <c r="O580" s="75"/>
      <c r="P580" s="75"/>
    </row>
    <row r="581" spans="12:16" x14ac:dyDescent="0.25">
      <c r="L581" s="75"/>
      <c r="M581" s="75"/>
      <c r="N581" s="75"/>
      <c r="O581" s="75"/>
      <c r="P581" s="75"/>
    </row>
    <row r="582" spans="12:16" x14ac:dyDescent="0.25">
      <c r="L582" s="75"/>
      <c r="M582" s="75"/>
      <c r="N582" s="75"/>
      <c r="O582" s="75"/>
      <c r="P582" s="75"/>
    </row>
    <row r="583" spans="12:16" x14ac:dyDescent="0.25">
      <c r="L583" s="75"/>
      <c r="M583" s="75"/>
      <c r="N583" s="75"/>
      <c r="O583" s="75"/>
      <c r="P583" s="75"/>
    </row>
    <row r="584" spans="12:16" x14ac:dyDescent="0.25">
      <c r="L584" s="75"/>
      <c r="M584" s="75"/>
      <c r="N584" s="75"/>
      <c r="O584" s="75"/>
      <c r="P584" s="75"/>
    </row>
    <row r="585" spans="12:16" x14ac:dyDescent="0.25">
      <c r="L585" s="75"/>
      <c r="M585" s="75"/>
      <c r="N585" s="75"/>
      <c r="O585" s="75"/>
      <c r="P585" s="75"/>
    </row>
    <row r="586" spans="12:16" x14ac:dyDescent="0.25">
      <c r="L586" s="75"/>
      <c r="M586" s="75"/>
      <c r="N586" s="75"/>
      <c r="O586" s="75"/>
      <c r="P586" s="75"/>
    </row>
    <row r="587" spans="12:16" x14ac:dyDescent="0.25">
      <c r="L587" s="75"/>
      <c r="M587" s="75"/>
      <c r="N587" s="75"/>
      <c r="O587" s="75"/>
      <c r="P587" s="75"/>
    </row>
    <row r="588" spans="12:16" x14ac:dyDescent="0.25">
      <c r="L588" s="75"/>
      <c r="M588" s="75"/>
      <c r="N588" s="75"/>
      <c r="O588" s="75"/>
      <c r="P588" s="75"/>
    </row>
    <row r="589" spans="12:16" x14ac:dyDescent="0.25">
      <c r="L589" s="75"/>
      <c r="M589" s="75"/>
      <c r="N589" s="75"/>
      <c r="O589" s="75"/>
      <c r="P589" s="75"/>
    </row>
    <row r="590" spans="12:16" x14ac:dyDescent="0.25">
      <c r="L590" s="75"/>
      <c r="M590" s="75"/>
      <c r="N590" s="75"/>
      <c r="O590" s="75"/>
      <c r="P590" s="75"/>
    </row>
    <row r="591" spans="12:16" x14ac:dyDescent="0.25">
      <c r="L591" s="75"/>
      <c r="M591" s="75"/>
      <c r="N591" s="75"/>
      <c r="O591" s="75"/>
      <c r="P591" s="75"/>
    </row>
    <row r="592" spans="12:16" x14ac:dyDescent="0.25">
      <c r="L592" s="75"/>
      <c r="M592" s="75"/>
      <c r="N592" s="75"/>
      <c r="O592" s="75"/>
      <c r="P592" s="75"/>
    </row>
    <row r="593" spans="12:16" x14ac:dyDescent="0.25">
      <c r="L593" s="75"/>
      <c r="M593" s="75"/>
      <c r="N593" s="75"/>
      <c r="O593" s="75"/>
      <c r="P593" s="75"/>
    </row>
    <row r="594" spans="12:16" x14ac:dyDescent="0.25">
      <c r="L594" s="75"/>
      <c r="M594" s="75"/>
      <c r="N594" s="75"/>
      <c r="O594" s="75"/>
      <c r="P594" s="75"/>
    </row>
    <row r="595" spans="12:16" x14ac:dyDescent="0.25">
      <c r="L595" s="75"/>
      <c r="M595" s="75"/>
      <c r="N595" s="75"/>
      <c r="O595" s="75"/>
      <c r="P595" s="75"/>
    </row>
    <row r="596" spans="12:16" x14ac:dyDescent="0.25">
      <c r="L596" s="75"/>
      <c r="M596" s="75"/>
      <c r="N596" s="75"/>
      <c r="O596" s="75"/>
      <c r="P596" s="75"/>
    </row>
    <row r="597" spans="12:16" x14ac:dyDescent="0.25">
      <c r="L597" s="75"/>
      <c r="M597" s="75"/>
      <c r="N597" s="75"/>
      <c r="O597" s="75"/>
      <c r="P597" s="75"/>
    </row>
    <row r="598" spans="12:16" x14ac:dyDescent="0.25">
      <c r="L598" s="75"/>
      <c r="M598" s="75"/>
      <c r="N598" s="75"/>
      <c r="O598" s="75"/>
      <c r="P598" s="75"/>
    </row>
    <row r="599" spans="12:16" x14ac:dyDescent="0.25">
      <c r="L599" s="75"/>
      <c r="M599" s="75"/>
      <c r="N599" s="75"/>
      <c r="O599" s="75"/>
      <c r="P599" s="75"/>
    </row>
    <row r="600" spans="12:16" x14ac:dyDescent="0.25">
      <c r="L600" s="75"/>
      <c r="M600" s="75"/>
      <c r="N600" s="75"/>
      <c r="O600" s="75"/>
      <c r="P600" s="75"/>
    </row>
    <row r="601" spans="12:16" x14ac:dyDescent="0.25">
      <c r="L601" s="75"/>
      <c r="M601" s="75"/>
      <c r="N601" s="75"/>
      <c r="O601" s="75"/>
      <c r="P601" s="75"/>
    </row>
    <row r="602" spans="12:16" x14ac:dyDescent="0.25">
      <c r="L602" s="75"/>
      <c r="M602" s="75"/>
      <c r="N602" s="75"/>
      <c r="O602" s="75"/>
      <c r="P602" s="75"/>
    </row>
    <row r="603" spans="12:16" x14ac:dyDescent="0.25">
      <c r="L603" s="75"/>
      <c r="M603" s="75"/>
      <c r="N603" s="75"/>
      <c r="O603" s="75"/>
      <c r="P603" s="75"/>
    </row>
    <row r="604" spans="12:16" x14ac:dyDescent="0.25">
      <c r="L604" s="75"/>
      <c r="M604" s="75"/>
      <c r="N604" s="75"/>
      <c r="O604" s="75"/>
      <c r="P604" s="75"/>
    </row>
    <row r="605" spans="12:16" x14ac:dyDescent="0.25">
      <c r="L605" s="75"/>
      <c r="M605" s="75"/>
      <c r="N605" s="75"/>
      <c r="O605" s="75"/>
      <c r="P605" s="75"/>
    </row>
    <row r="606" spans="12:16" x14ac:dyDescent="0.25">
      <c r="L606" s="75"/>
      <c r="M606" s="75"/>
      <c r="N606" s="75"/>
      <c r="O606" s="75"/>
      <c r="P606" s="75"/>
    </row>
    <row r="607" spans="12:16" x14ac:dyDescent="0.25">
      <c r="L607" s="75"/>
      <c r="M607" s="75"/>
      <c r="N607" s="75"/>
      <c r="O607" s="75"/>
      <c r="P607" s="75"/>
    </row>
    <row r="608" spans="12:16" x14ac:dyDescent="0.25">
      <c r="L608" s="75"/>
      <c r="M608" s="75"/>
      <c r="N608" s="75"/>
      <c r="O608" s="75"/>
      <c r="P608" s="75"/>
    </row>
    <row r="609" spans="12:16" x14ac:dyDescent="0.25">
      <c r="L609" s="75"/>
      <c r="M609" s="75"/>
      <c r="N609" s="75"/>
      <c r="O609" s="75"/>
      <c r="P609" s="75"/>
    </row>
    <row r="610" spans="12:16" x14ac:dyDescent="0.25">
      <c r="L610" s="75"/>
      <c r="M610" s="75"/>
      <c r="N610" s="75"/>
      <c r="O610" s="75"/>
      <c r="P610" s="75"/>
    </row>
    <row r="611" spans="12:16" x14ac:dyDescent="0.25">
      <c r="L611" s="75"/>
      <c r="M611" s="75"/>
      <c r="N611" s="75"/>
      <c r="O611" s="75"/>
      <c r="P611" s="75"/>
    </row>
    <row r="612" spans="12:16" x14ac:dyDescent="0.25">
      <c r="L612" s="75"/>
      <c r="M612" s="75"/>
      <c r="N612" s="75"/>
      <c r="O612" s="75"/>
      <c r="P612" s="75"/>
    </row>
    <row r="613" spans="12:16" x14ac:dyDescent="0.25">
      <c r="L613" s="75"/>
      <c r="M613" s="75"/>
      <c r="N613" s="75"/>
      <c r="O613" s="75"/>
      <c r="P613" s="75"/>
    </row>
    <row r="614" spans="12:16" x14ac:dyDescent="0.25">
      <c r="L614" s="75"/>
      <c r="M614" s="75"/>
      <c r="N614" s="75"/>
      <c r="O614" s="75"/>
      <c r="P614" s="75"/>
    </row>
    <row r="615" spans="12:16" x14ac:dyDescent="0.25">
      <c r="L615" s="75"/>
      <c r="M615" s="75"/>
      <c r="N615" s="75"/>
      <c r="O615" s="75"/>
      <c r="P615" s="75"/>
    </row>
    <row r="616" spans="12:16" x14ac:dyDescent="0.25">
      <c r="L616" s="75"/>
      <c r="M616" s="75"/>
      <c r="N616" s="75"/>
      <c r="O616" s="75"/>
      <c r="P616" s="75"/>
    </row>
    <row r="617" spans="12:16" x14ac:dyDescent="0.25">
      <c r="L617" s="75"/>
      <c r="M617" s="75"/>
      <c r="N617" s="75"/>
      <c r="O617" s="75"/>
      <c r="P617" s="75"/>
    </row>
    <row r="618" spans="12:16" x14ac:dyDescent="0.25">
      <c r="L618" s="75"/>
      <c r="M618" s="75"/>
      <c r="N618" s="75"/>
      <c r="O618" s="75"/>
      <c r="P618" s="75"/>
    </row>
    <row r="619" spans="12:16" x14ac:dyDescent="0.25">
      <c r="L619" s="75"/>
      <c r="M619" s="75"/>
      <c r="N619" s="75"/>
      <c r="O619" s="75"/>
      <c r="P619" s="75"/>
    </row>
    <row r="620" spans="12:16" x14ac:dyDescent="0.25">
      <c r="L620" s="75"/>
      <c r="M620" s="75"/>
      <c r="N620" s="75"/>
      <c r="O620" s="75"/>
      <c r="P620" s="75"/>
    </row>
    <row r="621" spans="12:16" x14ac:dyDescent="0.25">
      <c r="L621" s="75"/>
      <c r="M621" s="75"/>
      <c r="N621" s="75"/>
      <c r="O621" s="75"/>
      <c r="P621" s="75"/>
    </row>
    <row r="622" spans="12:16" x14ac:dyDescent="0.25">
      <c r="L622" s="75"/>
      <c r="M622" s="75"/>
      <c r="N622" s="75"/>
      <c r="O622" s="75"/>
      <c r="P622" s="75"/>
    </row>
    <row r="623" spans="12:16" x14ac:dyDescent="0.25">
      <c r="L623" s="75"/>
      <c r="M623" s="75"/>
      <c r="N623" s="75"/>
      <c r="O623" s="75"/>
      <c r="P623" s="75"/>
    </row>
    <row r="624" spans="12:16" x14ac:dyDescent="0.25">
      <c r="L624" s="75"/>
      <c r="M624" s="75"/>
      <c r="N624" s="75"/>
      <c r="O624" s="75"/>
      <c r="P624" s="75"/>
    </row>
    <row r="625" spans="12:16" x14ac:dyDescent="0.25">
      <c r="L625" s="75"/>
      <c r="M625" s="75"/>
      <c r="N625" s="75"/>
      <c r="O625" s="75"/>
      <c r="P625" s="75"/>
    </row>
    <row r="626" spans="12:16" x14ac:dyDescent="0.25">
      <c r="L626" s="75"/>
      <c r="M626" s="75"/>
      <c r="N626" s="75"/>
      <c r="O626" s="75"/>
      <c r="P626" s="75"/>
    </row>
    <row r="627" spans="12:16" x14ac:dyDescent="0.25">
      <c r="L627" s="75"/>
      <c r="M627" s="75"/>
      <c r="N627" s="75"/>
      <c r="O627" s="75"/>
      <c r="P627" s="75"/>
    </row>
    <row r="628" spans="12:16" x14ac:dyDescent="0.25">
      <c r="L628" s="75"/>
      <c r="M628" s="75"/>
      <c r="N628" s="75"/>
      <c r="O628" s="75"/>
      <c r="P628" s="75"/>
    </row>
    <row r="629" spans="12:16" x14ac:dyDescent="0.25">
      <c r="L629" s="75"/>
      <c r="M629" s="75"/>
      <c r="N629" s="75"/>
      <c r="O629" s="75"/>
      <c r="P629" s="75"/>
    </row>
    <row r="630" spans="12:16" x14ac:dyDescent="0.25">
      <c r="L630" s="75"/>
      <c r="M630" s="75"/>
      <c r="N630" s="75"/>
      <c r="O630" s="75"/>
      <c r="P630" s="75"/>
    </row>
    <row r="631" spans="12:16" x14ac:dyDescent="0.25">
      <c r="L631" s="75"/>
      <c r="M631" s="75"/>
      <c r="N631" s="75"/>
      <c r="O631" s="75"/>
      <c r="P631" s="75"/>
    </row>
    <row r="632" spans="12:16" x14ac:dyDescent="0.25">
      <c r="L632" s="75"/>
      <c r="M632" s="75"/>
      <c r="N632" s="75"/>
      <c r="O632" s="75"/>
      <c r="P632" s="75"/>
    </row>
    <row r="633" spans="12:16" x14ac:dyDescent="0.25">
      <c r="L633" s="75"/>
      <c r="M633" s="75"/>
      <c r="N633" s="75"/>
      <c r="O633" s="75"/>
      <c r="P633" s="75"/>
    </row>
    <row r="634" spans="12:16" x14ac:dyDescent="0.25">
      <c r="L634" s="75"/>
      <c r="M634" s="75"/>
      <c r="N634" s="75"/>
      <c r="O634" s="75"/>
      <c r="P634" s="75"/>
    </row>
    <row r="635" spans="12:16" x14ac:dyDescent="0.25">
      <c r="L635" s="75"/>
      <c r="M635" s="75"/>
      <c r="N635" s="75"/>
      <c r="O635" s="75"/>
      <c r="P635" s="75"/>
    </row>
    <row r="636" spans="12:16" x14ac:dyDescent="0.25">
      <c r="L636" s="75"/>
      <c r="M636" s="75"/>
      <c r="N636" s="75"/>
      <c r="O636" s="75"/>
      <c r="P636" s="75"/>
    </row>
    <row r="637" spans="12:16" x14ac:dyDescent="0.25">
      <c r="L637" s="75"/>
      <c r="M637" s="75"/>
      <c r="N637" s="75"/>
      <c r="O637" s="75"/>
      <c r="P637" s="75"/>
    </row>
    <row r="638" spans="12:16" x14ac:dyDescent="0.25">
      <c r="L638" s="75"/>
      <c r="M638" s="75"/>
      <c r="N638" s="75"/>
      <c r="O638" s="75"/>
      <c r="P638" s="75"/>
    </row>
    <row r="639" spans="12:16" x14ac:dyDescent="0.25">
      <c r="L639" s="75"/>
      <c r="M639" s="75"/>
      <c r="N639" s="75"/>
      <c r="O639" s="75"/>
      <c r="P639" s="75"/>
    </row>
    <row r="640" spans="12:16" x14ac:dyDescent="0.25">
      <c r="L640" s="75"/>
      <c r="M640" s="75"/>
      <c r="N640" s="75"/>
      <c r="O640" s="75"/>
      <c r="P640" s="75"/>
    </row>
    <row r="641" spans="12:16" x14ac:dyDescent="0.25">
      <c r="L641" s="75"/>
      <c r="M641" s="75"/>
      <c r="N641" s="75"/>
      <c r="O641" s="75"/>
      <c r="P641" s="75"/>
    </row>
    <row r="642" spans="12:16" x14ac:dyDescent="0.25">
      <c r="L642" s="75"/>
      <c r="M642" s="75"/>
      <c r="N642" s="75"/>
      <c r="O642" s="75"/>
      <c r="P642" s="75"/>
    </row>
    <row r="643" spans="12:16" x14ac:dyDescent="0.25">
      <c r="L643" s="75"/>
      <c r="M643" s="75"/>
      <c r="N643" s="75"/>
      <c r="O643" s="75"/>
      <c r="P643" s="75"/>
    </row>
    <row r="644" spans="12:16" x14ac:dyDescent="0.25">
      <c r="L644" s="75"/>
      <c r="M644" s="75"/>
      <c r="N644" s="75"/>
      <c r="O644" s="75"/>
      <c r="P644" s="75"/>
    </row>
    <row r="645" spans="12:16" x14ac:dyDescent="0.25">
      <c r="L645" s="75"/>
      <c r="M645" s="75"/>
      <c r="N645" s="75"/>
      <c r="O645" s="75"/>
      <c r="P645" s="75"/>
    </row>
    <row r="646" spans="12:16" x14ac:dyDescent="0.25">
      <c r="L646" s="75"/>
      <c r="M646" s="75"/>
      <c r="N646" s="75"/>
      <c r="O646" s="75"/>
      <c r="P646" s="75"/>
    </row>
    <row r="647" spans="12:16" x14ac:dyDescent="0.25">
      <c r="L647" s="75"/>
      <c r="M647" s="75"/>
      <c r="N647" s="75"/>
      <c r="O647" s="75"/>
      <c r="P647" s="75"/>
    </row>
    <row r="648" spans="12:16" x14ac:dyDescent="0.25">
      <c r="L648" s="75"/>
      <c r="M648" s="75"/>
      <c r="N648" s="75"/>
      <c r="O648" s="75"/>
      <c r="P648" s="75"/>
    </row>
    <row r="649" spans="12:16" x14ac:dyDescent="0.25">
      <c r="L649" s="75"/>
      <c r="M649" s="75"/>
      <c r="N649" s="75"/>
      <c r="O649" s="75"/>
      <c r="P649" s="75"/>
    </row>
    <row r="650" spans="12:16" x14ac:dyDescent="0.25">
      <c r="L650" s="75"/>
      <c r="M650" s="75"/>
      <c r="N650" s="75"/>
      <c r="O650" s="75"/>
      <c r="P650" s="75"/>
    </row>
    <row r="651" spans="12:16" x14ac:dyDescent="0.25">
      <c r="L651" s="75"/>
      <c r="M651" s="75"/>
      <c r="N651" s="75"/>
      <c r="O651" s="75"/>
      <c r="P651" s="75"/>
    </row>
    <row r="652" spans="12:16" x14ac:dyDescent="0.25">
      <c r="L652" s="75"/>
      <c r="M652" s="75"/>
      <c r="N652" s="75"/>
      <c r="O652" s="75"/>
      <c r="P652" s="75"/>
    </row>
    <row r="653" spans="12:16" x14ac:dyDescent="0.25">
      <c r="L653" s="75"/>
      <c r="M653" s="75"/>
      <c r="N653" s="75"/>
      <c r="O653" s="75"/>
      <c r="P653" s="75"/>
    </row>
    <row r="654" spans="12:16" x14ac:dyDescent="0.25">
      <c r="L654" s="75"/>
      <c r="M654" s="75"/>
      <c r="N654" s="75"/>
      <c r="O654" s="75"/>
      <c r="P654" s="75"/>
    </row>
    <row r="655" spans="12:16" x14ac:dyDescent="0.25">
      <c r="L655" s="75"/>
      <c r="M655" s="75"/>
      <c r="N655" s="75"/>
      <c r="O655" s="75"/>
      <c r="P655" s="75"/>
    </row>
    <row r="656" spans="12:16" x14ac:dyDescent="0.25">
      <c r="L656" s="75"/>
      <c r="M656" s="75"/>
      <c r="N656" s="75"/>
      <c r="O656" s="75"/>
      <c r="P656" s="75"/>
    </row>
    <row r="657" spans="12:16" x14ac:dyDescent="0.25">
      <c r="L657" s="75"/>
      <c r="M657" s="75"/>
      <c r="N657" s="75"/>
      <c r="O657" s="75"/>
      <c r="P657" s="75"/>
    </row>
    <row r="658" spans="12:16" x14ac:dyDescent="0.25">
      <c r="L658" s="75"/>
      <c r="M658" s="75"/>
      <c r="N658" s="75"/>
      <c r="O658" s="75"/>
      <c r="P658" s="75"/>
    </row>
    <row r="659" spans="12:16" x14ac:dyDescent="0.25">
      <c r="L659" s="75"/>
      <c r="M659" s="75"/>
      <c r="N659" s="75"/>
      <c r="O659" s="75"/>
      <c r="P659" s="75"/>
    </row>
    <row r="660" spans="12:16" x14ac:dyDescent="0.25">
      <c r="L660" s="75"/>
      <c r="M660" s="75"/>
      <c r="N660" s="75"/>
      <c r="O660" s="75"/>
      <c r="P660" s="75"/>
    </row>
    <row r="661" spans="12:16" x14ac:dyDescent="0.25">
      <c r="L661" s="75"/>
      <c r="M661" s="75"/>
      <c r="N661" s="75"/>
      <c r="O661" s="75"/>
      <c r="P661" s="75"/>
    </row>
    <row r="662" spans="12:16" x14ac:dyDescent="0.25">
      <c r="L662" s="75"/>
      <c r="M662" s="75"/>
      <c r="N662" s="75"/>
      <c r="O662" s="75"/>
      <c r="P662" s="75"/>
    </row>
    <row r="663" spans="12:16" x14ac:dyDescent="0.25">
      <c r="L663" s="75"/>
      <c r="M663" s="75"/>
      <c r="N663" s="75"/>
      <c r="O663" s="75"/>
      <c r="P663" s="75"/>
    </row>
    <row r="664" spans="12:16" x14ac:dyDescent="0.25">
      <c r="L664" s="75"/>
      <c r="M664" s="75"/>
      <c r="N664" s="75"/>
      <c r="O664" s="75"/>
      <c r="P664" s="75"/>
    </row>
    <row r="665" spans="12:16" x14ac:dyDescent="0.25">
      <c r="L665" s="75"/>
      <c r="M665" s="75"/>
      <c r="N665" s="75"/>
      <c r="O665" s="75"/>
      <c r="P665" s="75"/>
    </row>
    <row r="666" spans="12:16" x14ac:dyDescent="0.25">
      <c r="L666" s="75"/>
      <c r="M666" s="75"/>
      <c r="N666" s="75"/>
      <c r="O666" s="75"/>
      <c r="P666" s="75"/>
    </row>
    <row r="667" spans="12:16" x14ac:dyDescent="0.25">
      <c r="L667" s="75"/>
      <c r="M667" s="75"/>
      <c r="N667" s="75"/>
      <c r="O667" s="75"/>
      <c r="P667" s="75"/>
    </row>
    <row r="668" spans="12:16" x14ac:dyDescent="0.25">
      <c r="L668" s="75"/>
      <c r="M668" s="75"/>
      <c r="N668" s="75"/>
      <c r="O668" s="75"/>
      <c r="P668" s="75"/>
    </row>
    <row r="669" spans="12:16" x14ac:dyDescent="0.25">
      <c r="L669" s="75"/>
      <c r="M669" s="75"/>
      <c r="N669" s="75"/>
      <c r="O669" s="75"/>
      <c r="P669" s="75"/>
    </row>
    <row r="670" spans="12:16" x14ac:dyDescent="0.25">
      <c r="L670" s="75"/>
      <c r="M670" s="75"/>
      <c r="N670" s="75"/>
      <c r="O670" s="75"/>
      <c r="P670" s="75"/>
    </row>
    <row r="671" spans="12:16" x14ac:dyDescent="0.25">
      <c r="L671" s="75"/>
      <c r="M671" s="75"/>
      <c r="N671" s="75"/>
      <c r="O671" s="75"/>
      <c r="P671" s="75"/>
    </row>
    <row r="672" spans="12:16" x14ac:dyDescent="0.25">
      <c r="L672" s="75"/>
      <c r="M672" s="75"/>
      <c r="N672" s="75"/>
      <c r="O672" s="75"/>
      <c r="P672" s="75"/>
    </row>
    <row r="673" spans="12:16" x14ac:dyDescent="0.25">
      <c r="L673" s="75"/>
      <c r="M673" s="75"/>
      <c r="N673" s="75"/>
      <c r="O673" s="75"/>
      <c r="P673" s="75"/>
    </row>
    <row r="674" spans="12:16" x14ac:dyDescent="0.25">
      <c r="L674" s="75"/>
      <c r="M674" s="75"/>
      <c r="N674" s="75"/>
      <c r="O674" s="75"/>
      <c r="P674" s="75"/>
    </row>
    <row r="675" spans="12:16" x14ac:dyDescent="0.25">
      <c r="L675" s="75"/>
      <c r="M675" s="75"/>
      <c r="N675" s="75"/>
      <c r="O675" s="75"/>
      <c r="P675" s="75"/>
    </row>
    <row r="676" spans="12:16" x14ac:dyDescent="0.25">
      <c r="L676" s="75"/>
      <c r="M676" s="75"/>
      <c r="N676" s="75"/>
      <c r="O676" s="75"/>
      <c r="P676" s="75"/>
    </row>
    <row r="677" spans="12:16" x14ac:dyDescent="0.25">
      <c r="L677" s="75"/>
      <c r="M677" s="75"/>
      <c r="N677" s="75"/>
      <c r="O677" s="75"/>
      <c r="P677" s="75"/>
    </row>
    <row r="678" spans="12:16" x14ac:dyDescent="0.25">
      <c r="L678" s="75"/>
      <c r="M678" s="75"/>
      <c r="N678" s="75"/>
      <c r="O678" s="75"/>
      <c r="P678" s="75"/>
    </row>
    <row r="679" spans="12:16" x14ac:dyDescent="0.25">
      <c r="L679" s="75"/>
      <c r="M679" s="75"/>
      <c r="N679" s="75"/>
      <c r="O679" s="75"/>
      <c r="P679" s="75"/>
    </row>
    <row r="680" spans="12:16" x14ac:dyDescent="0.25">
      <c r="L680" s="75"/>
      <c r="M680" s="75"/>
      <c r="N680" s="75"/>
      <c r="O680" s="75"/>
      <c r="P680" s="75"/>
    </row>
    <row r="681" spans="12:16" x14ac:dyDescent="0.25">
      <c r="L681" s="75"/>
      <c r="M681" s="75"/>
      <c r="N681" s="75"/>
      <c r="O681" s="75"/>
      <c r="P681" s="75"/>
    </row>
    <row r="682" spans="12:16" x14ac:dyDescent="0.25">
      <c r="L682" s="75"/>
      <c r="M682" s="75"/>
      <c r="N682" s="75"/>
      <c r="O682" s="75"/>
      <c r="P682" s="75"/>
    </row>
    <row r="683" spans="12:16" x14ac:dyDescent="0.25">
      <c r="L683" s="75"/>
      <c r="M683" s="75"/>
      <c r="N683" s="75"/>
      <c r="O683" s="75"/>
      <c r="P683" s="75"/>
    </row>
    <row r="684" spans="12:16" x14ac:dyDescent="0.25">
      <c r="L684" s="75"/>
      <c r="M684" s="75"/>
      <c r="N684" s="75"/>
      <c r="O684" s="75"/>
      <c r="P684" s="75"/>
    </row>
    <row r="685" spans="12:16" x14ac:dyDescent="0.25">
      <c r="L685" s="75"/>
      <c r="M685" s="75"/>
      <c r="N685" s="75"/>
      <c r="O685" s="75"/>
      <c r="P685" s="75"/>
    </row>
    <row r="686" spans="12:16" x14ac:dyDescent="0.25">
      <c r="L686" s="75"/>
      <c r="M686" s="75"/>
      <c r="N686" s="75"/>
      <c r="O686" s="75"/>
      <c r="P686" s="75"/>
    </row>
    <row r="687" spans="12:16" x14ac:dyDescent="0.25">
      <c r="L687" s="75"/>
      <c r="M687" s="75"/>
      <c r="N687" s="75"/>
      <c r="O687" s="75"/>
      <c r="P687" s="75"/>
    </row>
    <row r="688" spans="12:16" x14ac:dyDescent="0.25">
      <c r="L688" s="75"/>
      <c r="M688" s="75"/>
      <c r="N688" s="75"/>
      <c r="O688" s="75"/>
      <c r="P688" s="75"/>
    </row>
    <row r="689" spans="12:16" x14ac:dyDescent="0.25">
      <c r="L689" s="75"/>
      <c r="M689" s="75"/>
      <c r="N689" s="75"/>
      <c r="O689" s="75"/>
      <c r="P689" s="75"/>
    </row>
    <row r="690" spans="12:16" x14ac:dyDescent="0.25">
      <c r="L690" s="75"/>
      <c r="M690" s="75"/>
      <c r="N690" s="75"/>
      <c r="O690" s="75"/>
      <c r="P690" s="75"/>
    </row>
    <row r="691" spans="12:16" x14ac:dyDescent="0.25">
      <c r="L691" s="75"/>
      <c r="M691" s="75"/>
      <c r="N691" s="75"/>
      <c r="O691" s="75"/>
      <c r="P691" s="75"/>
    </row>
    <row r="692" spans="12:16" x14ac:dyDescent="0.25">
      <c r="L692" s="75"/>
      <c r="M692" s="75"/>
      <c r="N692" s="75"/>
      <c r="O692" s="75"/>
      <c r="P692" s="75"/>
    </row>
    <row r="693" spans="12:16" x14ac:dyDescent="0.25">
      <c r="L693" s="75"/>
      <c r="M693" s="75"/>
      <c r="N693" s="75"/>
      <c r="O693" s="75"/>
      <c r="P693" s="75"/>
    </row>
    <row r="694" spans="12:16" x14ac:dyDescent="0.25">
      <c r="L694" s="75"/>
      <c r="M694" s="75"/>
      <c r="N694" s="75"/>
      <c r="O694" s="75"/>
      <c r="P694" s="75"/>
    </row>
    <row r="695" spans="12:16" x14ac:dyDescent="0.25">
      <c r="L695" s="75"/>
      <c r="M695" s="75"/>
      <c r="N695" s="75"/>
      <c r="O695" s="75"/>
      <c r="P695" s="75"/>
    </row>
    <row r="696" spans="12:16" x14ac:dyDescent="0.25">
      <c r="L696" s="75"/>
      <c r="M696" s="75"/>
      <c r="N696" s="75"/>
      <c r="O696" s="75"/>
      <c r="P696" s="75"/>
    </row>
    <row r="697" spans="12:16" x14ac:dyDescent="0.25">
      <c r="L697" s="75"/>
      <c r="M697" s="75"/>
      <c r="N697" s="75"/>
      <c r="O697" s="75"/>
      <c r="P697" s="75"/>
    </row>
    <row r="698" spans="12:16" x14ac:dyDescent="0.25">
      <c r="L698" s="75"/>
      <c r="M698" s="75"/>
      <c r="N698" s="75"/>
      <c r="O698" s="75"/>
      <c r="P698" s="75"/>
    </row>
    <row r="699" spans="12:16" x14ac:dyDescent="0.25">
      <c r="L699" s="75"/>
      <c r="M699" s="75"/>
      <c r="N699" s="75"/>
      <c r="O699" s="75"/>
      <c r="P699" s="75"/>
    </row>
    <row r="700" spans="12:16" x14ac:dyDescent="0.25">
      <c r="L700" s="75"/>
      <c r="M700" s="75"/>
      <c r="N700" s="75"/>
      <c r="O700" s="75"/>
      <c r="P700" s="75"/>
    </row>
    <row r="701" spans="12:16" x14ac:dyDescent="0.25">
      <c r="L701" s="75"/>
      <c r="M701" s="75"/>
      <c r="N701" s="75"/>
      <c r="O701" s="75"/>
      <c r="P701" s="75"/>
    </row>
    <row r="702" spans="12:16" x14ac:dyDescent="0.25">
      <c r="L702" s="75"/>
      <c r="M702" s="75"/>
      <c r="N702" s="75"/>
      <c r="O702" s="75"/>
      <c r="P702" s="75"/>
    </row>
    <row r="703" spans="12:16" x14ac:dyDescent="0.25">
      <c r="L703" s="75"/>
      <c r="M703" s="75"/>
      <c r="N703" s="75"/>
      <c r="O703" s="75"/>
      <c r="P703" s="75"/>
    </row>
    <row r="704" spans="12:16" x14ac:dyDescent="0.25">
      <c r="L704" s="75"/>
      <c r="M704" s="75"/>
      <c r="N704" s="75"/>
      <c r="O704" s="75"/>
      <c r="P704" s="75"/>
    </row>
    <row r="705" spans="12:16" x14ac:dyDescent="0.25">
      <c r="L705" s="75"/>
      <c r="M705" s="75"/>
      <c r="N705" s="75"/>
      <c r="O705" s="75"/>
      <c r="P705" s="75"/>
    </row>
    <row r="706" spans="12:16" x14ac:dyDescent="0.25">
      <c r="L706" s="75"/>
      <c r="M706" s="75"/>
      <c r="N706" s="75"/>
      <c r="O706" s="75"/>
      <c r="P706" s="75"/>
    </row>
    <row r="707" spans="12:16" x14ac:dyDescent="0.25">
      <c r="L707" s="75"/>
      <c r="M707" s="75"/>
      <c r="N707" s="75"/>
      <c r="O707" s="75"/>
      <c r="P707" s="75"/>
    </row>
    <row r="708" spans="12:16" x14ac:dyDescent="0.25">
      <c r="L708" s="75"/>
      <c r="M708" s="75"/>
      <c r="N708" s="75"/>
      <c r="O708" s="75"/>
      <c r="P708" s="75"/>
    </row>
    <row r="709" spans="12:16" x14ac:dyDescent="0.25">
      <c r="L709" s="75"/>
      <c r="M709" s="75"/>
      <c r="N709" s="75"/>
      <c r="O709" s="75"/>
      <c r="P709" s="75"/>
    </row>
    <row r="710" spans="12:16" x14ac:dyDescent="0.25">
      <c r="L710" s="75"/>
      <c r="M710" s="75"/>
      <c r="N710" s="75"/>
      <c r="O710" s="75"/>
      <c r="P710" s="75"/>
    </row>
    <row r="711" spans="12:16" x14ac:dyDescent="0.25">
      <c r="L711" s="75"/>
      <c r="M711" s="75"/>
      <c r="N711" s="75"/>
      <c r="O711" s="75"/>
      <c r="P711" s="75"/>
    </row>
    <row r="712" spans="12:16" x14ac:dyDescent="0.25">
      <c r="L712" s="75"/>
      <c r="M712" s="75"/>
      <c r="N712" s="75"/>
      <c r="O712" s="75"/>
      <c r="P712" s="75"/>
    </row>
    <row r="713" spans="12:16" x14ac:dyDescent="0.25">
      <c r="L713" s="75"/>
      <c r="M713" s="75"/>
      <c r="N713" s="75"/>
      <c r="O713" s="75"/>
      <c r="P713" s="75"/>
    </row>
    <row r="714" spans="12:16" x14ac:dyDescent="0.25">
      <c r="L714" s="75"/>
      <c r="M714" s="75"/>
      <c r="N714" s="75"/>
      <c r="O714" s="75"/>
      <c r="P714" s="75"/>
    </row>
    <row r="715" spans="12:16" x14ac:dyDescent="0.25">
      <c r="L715" s="75"/>
      <c r="M715" s="75"/>
      <c r="N715" s="75"/>
      <c r="O715" s="75"/>
      <c r="P715" s="75"/>
    </row>
    <row r="716" spans="12:16" x14ac:dyDescent="0.25">
      <c r="L716" s="75"/>
      <c r="M716" s="75"/>
      <c r="N716" s="75"/>
      <c r="O716" s="75"/>
      <c r="P716" s="75"/>
    </row>
    <row r="717" spans="12:16" x14ac:dyDescent="0.25">
      <c r="L717" s="75"/>
      <c r="M717" s="75"/>
      <c r="N717" s="75"/>
      <c r="O717" s="75"/>
      <c r="P717" s="75"/>
    </row>
    <row r="718" spans="12:16" x14ac:dyDescent="0.25">
      <c r="L718" s="75"/>
      <c r="M718" s="75"/>
      <c r="N718" s="75"/>
      <c r="O718" s="75"/>
      <c r="P718" s="75"/>
    </row>
    <row r="719" spans="12:16" x14ac:dyDescent="0.25">
      <c r="L719" s="75"/>
      <c r="M719" s="75"/>
      <c r="N719" s="75"/>
      <c r="O719" s="75"/>
      <c r="P719" s="75"/>
    </row>
    <row r="720" spans="12:16" x14ac:dyDescent="0.25">
      <c r="L720" s="75"/>
      <c r="M720" s="75"/>
      <c r="N720" s="75"/>
      <c r="O720" s="75"/>
      <c r="P720" s="75"/>
    </row>
    <row r="721" spans="12:16" x14ac:dyDescent="0.25">
      <c r="L721" s="75"/>
      <c r="M721" s="75"/>
      <c r="N721" s="75"/>
      <c r="O721" s="75"/>
      <c r="P721" s="75"/>
    </row>
    <row r="722" spans="12:16" x14ac:dyDescent="0.25">
      <c r="L722" s="75"/>
      <c r="M722" s="75"/>
      <c r="N722" s="75"/>
      <c r="O722" s="75"/>
      <c r="P722" s="75"/>
    </row>
    <row r="723" spans="12:16" x14ac:dyDescent="0.25">
      <c r="L723" s="75"/>
      <c r="M723" s="75"/>
      <c r="N723" s="75"/>
      <c r="O723" s="75"/>
      <c r="P723" s="75"/>
    </row>
    <row r="724" spans="12:16" x14ac:dyDescent="0.25">
      <c r="L724" s="75"/>
      <c r="M724" s="75"/>
      <c r="N724" s="75"/>
      <c r="O724" s="75"/>
      <c r="P724" s="75"/>
    </row>
    <row r="725" spans="12:16" x14ac:dyDescent="0.25">
      <c r="L725" s="75"/>
      <c r="M725" s="75"/>
      <c r="N725" s="75"/>
      <c r="O725" s="75"/>
      <c r="P725" s="75"/>
    </row>
    <row r="726" spans="12:16" x14ac:dyDescent="0.25">
      <c r="L726" s="75"/>
      <c r="M726" s="75"/>
      <c r="N726" s="75"/>
      <c r="O726" s="75"/>
      <c r="P726" s="75"/>
    </row>
    <row r="727" spans="12:16" x14ac:dyDescent="0.25">
      <c r="L727" s="75"/>
      <c r="M727" s="75"/>
      <c r="N727" s="75"/>
      <c r="O727" s="75"/>
      <c r="P727" s="75"/>
    </row>
    <row r="728" spans="12:16" x14ac:dyDescent="0.25">
      <c r="L728" s="75"/>
      <c r="M728" s="75"/>
      <c r="N728" s="75"/>
      <c r="O728" s="75"/>
      <c r="P728" s="75"/>
    </row>
    <row r="729" spans="12:16" x14ac:dyDescent="0.25">
      <c r="L729" s="75"/>
      <c r="M729" s="75"/>
      <c r="N729" s="75"/>
      <c r="O729" s="75"/>
      <c r="P729" s="75"/>
    </row>
    <row r="730" spans="12:16" x14ac:dyDescent="0.25">
      <c r="L730" s="75"/>
      <c r="M730" s="75"/>
      <c r="N730" s="75"/>
      <c r="O730" s="75"/>
      <c r="P730" s="75"/>
    </row>
    <row r="731" spans="12:16" x14ac:dyDescent="0.25">
      <c r="L731" s="75"/>
      <c r="M731" s="75"/>
      <c r="N731" s="75"/>
      <c r="O731" s="75"/>
      <c r="P731" s="75"/>
    </row>
    <row r="732" spans="12:16" x14ac:dyDescent="0.25">
      <c r="L732" s="75"/>
      <c r="M732" s="75"/>
      <c r="N732" s="75"/>
      <c r="O732" s="75"/>
      <c r="P732" s="75"/>
    </row>
    <row r="733" spans="12:16" x14ac:dyDescent="0.25">
      <c r="L733" s="75"/>
      <c r="M733" s="75"/>
      <c r="N733" s="75"/>
      <c r="O733" s="75"/>
      <c r="P733" s="75"/>
    </row>
    <row r="734" spans="12:16" x14ac:dyDescent="0.25">
      <c r="L734" s="75"/>
      <c r="M734" s="75"/>
      <c r="N734" s="75"/>
      <c r="O734" s="75"/>
      <c r="P734" s="75"/>
    </row>
    <row r="735" spans="12:16" x14ac:dyDescent="0.25">
      <c r="L735" s="75"/>
      <c r="M735" s="75"/>
      <c r="N735" s="75"/>
      <c r="O735" s="75"/>
      <c r="P735" s="75"/>
    </row>
    <row r="736" spans="12:16" x14ac:dyDescent="0.25">
      <c r="L736" s="75"/>
      <c r="M736" s="75"/>
      <c r="N736" s="75"/>
      <c r="O736" s="75"/>
      <c r="P736" s="75"/>
    </row>
    <row r="737" spans="12:16" x14ac:dyDescent="0.25">
      <c r="L737" s="75"/>
      <c r="M737" s="75"/>
      <c r="N737" s="75"/>
      <c r="O737" s="75"/>
      <c r="P737" s="75"/>
    </row>
    <row r="738" spans="12:16" x14ac:dyDescent="0.25">
      <c r="L738" s="75"/>
      <c r="M738" s="75"/>
      <c r="N738" s="75"/>
      <c r="O738" s="75"/>
      <c r="P738" s="75"/>
    </row>
    <row r="739" spans="12:16" x14ac:dyDescent="0.25">
      <c r="L739" s="75"/>
      <c r="M739" s="75"/>
      <c r="N739" s="75"/>
      <c r="O739" s="75"/>
      <c r="P739" s="75"/>
    </row>
    <row r="740" spans="12:16" x14ac:dyDescent="0.25">
      <c r="L740" s="75"/>
      <c r="M740" s="75"/>
      <c r="N740" s="75"/>
      <c r="O740" s="75"/>
      <c r="P740" s="75"/>
    </row>
    <row r="741" spans="12:16" x14ac:dyDescent="0.25">
      <c r="L741" s="75"/>
      <c r="M741" s="75"/>
      <c r="N741" s="75"/>
      <c r="O741" s="75"/>
      <c r="P741" s="75"/>
    </row>
    <row r="742" spans="12:16" x14ac:dyDescent="0.25">
      <c r="L742" s="75"/>
      <c r="M742" s="75"/>
      <c r="N742" s="75"/>
      <c r="O742" s="75"/>
      <c r="P742" s="75"/>
    </row>
    <row r="743" spans="12:16" x14ac:dyDescent="0.25">
      <c r="L743" s="75"/>
      <c r="M743" s="75"/>
      <c r="N743" s="75"/>
      <c r="O743" s="75"/>
      <c r="P743" s="75"/>
    </row>
    <row r="744" spans="12:16" x14ac:dyDescent="0.25">
      <c r="L744" s="75"/>
      <c r="M744" s="75"/>
      <c r="N744" s="75"/>
      <c r="O744" s="75"/>
      <c r="P744" s="75"/>
    </row>
    <row r="745" spans="12:16" x14ac:dyDescent="0.25">
      <c r="L745" s="75"/>
      <c r="M745" s="75"/>
      <c r="N745" s="75"/>
      <c r="O745" s="75"/>
      <c r="P745" s="75"/>
    </row>
    <row r="746" spans="12:16" x14ac:dyDescent="0.25">
      <c r="L746" s="75"/>
      <c r="M746" s="75"/>
      <c r="N746" s="75"/>
      <c r="O746" s="75"/>
      <c r="P746" s="75"/>
    </row>
    <row r="747" spans="12:16" x14ac:dyDescent="0.25">
      <c r="L747" s="75"/>
      <c r="M747" s="75"/>
      <c r="N747" s="75"/>
      <c r="O747" s="75"/>
      <c r="P747" s="75"/>
    </row>
    <row r="748" spans="12:16" x14ac:dyDescent="0.25">
      <c r="L748" s="75"/>
      <c r="M748" s="75"/>
      <c r="N748" s="75"/>
      <c r="O748" s="75"/>
      <c r="P748" s="75"/>
    </row>
    <row r="749" spans="12:16" x14ac:dyDescent="0.25">
      <c r="L749" s="75"/>
      <c r="M749" s="75"/>
      <c r="N749" s="75"/>
      <c r="O749" s="75"/>
      <c r="P749" s="75"/>
    </row>
    <row r="750" spans="12:16" x14ac:dyDescent="0.25">
      <c r="L750" s="75"/>
      <c r="M750" s="75"/>
      <c r="N750" s="75"/>
      <c r="O750" s="75"/>
      <c r="P750" s="75"/>
    </row>
    <row r="751" spans="12:16" x14ac:dyDescent="0.25">
      <c r="L751" s="75"/>
      <c r="M751" s="75"/>
      <c r="N751" s="75"/>
      <c r="O751" s="75"/>
      <c r="P751" s="75"/>
    </row>
    <row r="752" spans="12:16" x14ac:dyDescent="0.25">
      <c r="L752" s="75"/>
      <c r="M752" s="75"/>
      <c r="N752" s="75"/>
      <c r="O752" s="75"/>
      <c r="P752" s="75"/>
    </row>
    <row r="753" spans="12:16" x14ac:dyDescent="0.25">
      <c r="L753" s="75"/>
      <c r="M753" s="75"/>
      <c r="N753" s="75"/>
      <c r="O753" s="75"/>
      <c r="P753" s="75"/>
    </row>
    <row r="754" spans="12:16" x14ac:dyDescent="0.25">
      <c r="L754" s="75"/>
      <c r="M754" s="75"/>
      <c r="N754" s="75"/>
      <c r="O754" s="75"/>
      <c r="P754" s="75"/>
    </row>
    <row r="755" spans="12:16" x14ac:dyDescent="0.25">
      <c r="L755" s="75"/>
      <c r="M755" s="75"/>
      <c r="N755" s="75"/>
      <c r="O755" s="75"/>
      <c r="P755" s="75"/>
    </row>
    <row r="756" spans="12:16" x14ac:dyDescent="0.25">
      <c r="L756" s="75"/>
      <c r="M756" s="75"/>
      <c r="N756" s="75"/>
      <c r="O756" s="75"/>
      <c r="P756" s="75"/>
    </row>
    <row r="757" spans="12:16" x14ac:dyDescent="0.25">
      <c r="L757" s="75"/>
      <c r="M757" s="75"/>
      <c r="N757" s="75"/>
      <c r="O757" s="75"/>
      <c r="P757" s="75"/>
    </row>
    <row r="758" spans="12:16" x14ac:dyDescent="0.25">
      <c r="L758" s="75"/>
      <c r="M758" s="75"/>
      <c r="N758" s="75"/>
      <c r="O758" s="75"/>
      <c r="P758" s="75"/>
    </row>
    <row r="759" spans="12:16" x14ac:dyDescent="0.25">
      <c r="L759" s="75"/>
      <c r="M759" s="75"/>
      <c r="N759" s="75"/>
      <c r="O759" s="75"/>
      <c r="P759" s="75"/>
    </row>
    <row r="760" spans="12:16" x14ac:dyDescent="0.25">
      <c r="L760" s="75"/>
      <c r="M760" s="75"/>
      <c r="N760" s="75"/>
      <c r="O760" s="75"/>
      <c r="P760" s="75"/>
    </row>
    <row r="761" spans="12:16" x14ac:dyDescent="0.25">
      <c r="L761" s="75"/>
      <c r="M761" s="75"/>
      <c r="N761" s="75"/>
      <c r="O761" s="75"/>
      <c r="P761" s="75"/>
    </row>
    <row r="762" spans="12:16" x14ac:dyDescent="0.25">
      <c r="L762" s="75"/>
      <c r="M762" s="75"/>
      <c r="N762" s="75"/>
      <c r="O762" s="75"/>
      <c r="P762" s="75"/>
    </row>
    <row r="763" spans="12:16" x14ac:dyDescent="0.25">
      <c r="L763" s="75"/>
      <c r="M763" s="75"/>
      <c r="N763" s="75"/>
      <c r="O763" s="75"/>
      <c r="P763" s="75"/>
    </row>
    <row r="764" spans="12:16" x14ac:dyDescent="0.25">
      <c r="L764" s="75"/>
      <c r="M764" s="75"/>
      <c r="N764" s="75"/>
      <c r="O764" s="75"/>
      <c r="P764" s="75"/>
    </row>
    <row r="765" spans="12:16" x14ac:dyDescent="0.25">
      <c r="L765" s="75"/>
      <c r="M765" s="75"/>
      <c r="N765" s="75"/>
      <c r="O765" s="75"/>
      <c r="P765" s="75"/>
    </row>
    <row r="766" spans="12:16" x14ac:dyDescent="0.25">
      <c r="L766" s="75"/>
      <c r="M766" s="75"/>
      <c r="N766" s="75"/>
      <c r="O766" s="75"/>
      <c r="P766" s="75"/>
    </row>
    <row r="767" spans="12:16" x14ac:dyDescent="0.25">
      <c r="L767" s="75"/>
      <c r="M767" s="75"/>
      <c r="N767" s="75"/>
      <c r="O767" s="75"/>
      <c r="P767" s="75"/>
    </row>
    <row r="768" spans="12:16" x14ac:dyDescent="0.25">
      <c r="L768" s="75"/>
      <c r="M768" s="75"/>
      <c r="N768" s="75"/>
      <c r="O768" s="75"/>
      <c r="P768" s="75"/>
    </row>
    <row r="769" spans="12:16" x14ac:dyDescent="0.25">
      <c r="L769" s="75"/>
      <c r="M769" s="75"/>
      <c r="N769" s="75"/>
      <c r="O769" s="75"/>
      <c r="P769" s="75"/>
    </row>
    <row r="770" spans="12:16" x14ac:dyDescent="0.25">
      <c r="L770" s="75"/>
      <c r="M770" s="75"/>
      <c r="N770" s="75"/>
      <c r="O770" s="75"/>
      <c r="P770" s="75"/>
    </row>
    <row r="771" spans="12:16" x14ac:dyDescent="0.25">
      <c r="L771" s="75"/>
      <c r="M771" s="75"/>
      <c r="N771" s="75"/>
      <c r="O771" s="75"/>
      <c r="P771" s="75"/>
    </row>
    <row r="772" spans="12:16" x14ac:dyDescent="0.25">
      <c r="L772" s="75"/>
      <c r="M772" s="75"/>
      <c r="N772" s="75"/>
      <c r="O772" s="75"/>
      <c r="P772" s="75"/>
    </row>
    <row r="773" spans="12:16" x14ac:dyDescent="0.25">
      <c r="L773" s="75"/>
      <c r="M773" s="75"/>
      <c r="N773" s="75"/>
      <c r="O773" s="75"/>
      <c r="P773" s="75"/>
    </row>
    <row r="774" spans="12:16" x14ac:dyDescent="0.25">
      <c r="L774" s="75"/>
      <c r="M774" s="75"/>
      <c r="N774" s="75"/>
      <c r="O774" s="75"/>
      <c r="P774" s="75"/>
    </row>
    <row r="775" spans="12:16" x14ac:dyDescent="0.25">
      <c r="L775" s="75"/>
      <c r="M775" s="75"/>
      <c r="N775" s="75"/>
      <c r="O775" s="75"/>
      <c r="P775" s="75"/>
    </row>
    <row r="776" spans="12:16" x14ac:dyDescent="0.25">
      <c r="L776" s="75"/>
      <c r="M776" s="75"/>
      <c r="N776" s="75"/>
      <c r="O776" s="75"/>
      <c r="P776" s="75"/>
    </row>
    <row r="777" spans="12:16" x14ac:dyDescent="0.25">
      <c r="L777" s="75"/>
      <c r="M777" s="75"/>
      <c r="N777" s="75"/>
      <c r="O777" s="75"/>
      <c r="P777" s="75"/>
    </row>
    <row r="778" spans="12:16" x14ac:dyDescent="0.25">
      <c r="L778" s="75"/>
      <c r="M778" s="75"/>
      <c r="N778" s="75"/>
      <c r="O778" s="75"/>
      <c r="P778" s="75"/>
    </row>
    <row r="779" spans="12:16" x14ac:dyDescent="0.25">
      <c r="L779" s="75"/>
      <c r="M779" s="75"/>
      <c r="N779" s="75"/>
      <c r="O779" s="75"/>
      <c r="P779" s="75"/>
    </row>
    <row r="780" spans="12:16" x14ac:dyDescent="0.25">
      <c r="L780" s="75"/>
      <c r="M780" s="75"/>
      <c r="N780" s="75"/>
      <c r="O780" s="75"/>
      <c r="P780" s="75"/>
    </row>
    <row r="781" spans="12:16" x14ac:dyDescent="0.25">
      <c r="L781" s="75"/>
      <c r="M781" s="75"/>
      <c r="N781" s="75"/>
      <c r="O781" s="75"/>
      <c r="P781" s="75"/>
    </row>
    <row r="782" spans="12:16" x14ac:dyDescent="0.25">
      <c r="L782" s="75"/>
      <c r="M782" s="75"/>
      <c r="N782" s="75"/>
      <c r="O782" s="75"/>
      <c r="P782" s="75"/>
    </row>
    <row r="783" spans="12:16" x14ac:dyDescent="0.25">
      <c r="L783" s="75"/>
      <c r="M783" s="75"/>
      <c r="N783" s="75"/>
      <c r="O783" s="75"/>
      <c r="P783" s="75"/>
    </row>
    <row r="784" spans="12:16" x14ac:dyDescent="0.25">
      <c r="L784" s="75"/>
      <c r="M784" s="75"/>
      <c r="N784" s="75"/>
      <c r="O784" s="75"/>
      <c r="P784" s="75"/>
    </row>
    <row r="785" spans="12:16" x14ac:dyDescent="0.25">
      <c r="L785" s="75"/>
      <c r="M785" s="75"/>
      <c r="N785" s="75"/>
      <c r="O785" s="75"/>
      <c r="P785" s="75"/>
    </row>
    <row r="786" spans="12:16" x14ac:dyDescent="0.25">
      <c r="L786" s="75"/>
      <c r="M786" s="75"/>
      <c r="N786" s="75"/>
      <c r="O786" s="75"/>
      <c r="P786" s="75"/>
    </row>
    <row r="787" spans="12:16" x14ac:dyDescent="0.25">
      <c r="L787" s="75"/>
      <c r="M787" s="75"/>
      <c r="N787" s="75"/>
      <c r="O787" s="75"/>
      <c r="P787" s="75"/>
    </row>
    <row r="788" spans="12:16" x14ac:dyDescent="0.25">
      <c r="L788" s="75"/>
      <c r="M788" s="75"/>
      <c r="N788" s="75"/>
      <c r="O788" s="75"/>
      <c r="P788" s="75"/>
    </row>
    <row r="789" spans="12:16" x14ac:dyDescent="0.25">
      <c r="L789" s="75"/>
      <c r="M789" s="75"/>
      <c r="N789" s="75"/>
      <c r="O789" s="75"/>
      <c r="P789" s="75"/>
    </row>
    <row r="790" spans="12:16" x14ac:dyDescent="0.25">
      <c r="L790" s="75"/>
      <c r="M790" s="75"/>
      <c r="N790" s="75"/>
      <c r="O790" s="75"/>
      <c r="P790" s="75"/>
    </row>
    <row r="791" spans="12:16" x14ac:dyDescent="0.25">
      <c r="L791" s="75"/>
      <c r="M791" s="75"/>
      <c r="N791" s="75"/>
      <c r="O791" s="75"/>
      <c r="P791" s="75"/>
    </row>
    <row r="792" spans="12:16" x14ac:dyDescent="0.25">
      <c r="L792" s="75"/>
      <c r="M792" s="75"/>
      <c r="N792" s="75"/>
      <c r="O792" s="75"/>
      <c r="P792" s="75"/>
    </row>
    <row r="793" spans="12:16" x14ac:dyDescent="0.25">
      <c r="L793" s="75"/>
      <c r="M793" s="75"/>
      <c r="N793" s="75"/>
      <c r="O793" s="75"/>
      <c r="P793" s="75"/>
    </row>
    <row r="794" spans="12:16" x14ac:dyDescent="0.25">
      <c r="L794" s="75"/>
      <c r="M794" s="75"/>
      <c r="N794" s="75"/>
      <c r="O794" s="75"/>
      <c r="P794" s="75"/>
    </row>
    <row r="795" spans="12:16" x14ac:dyDescent="0.25">
      <c r="L795" s="75"/>
      <c r="M795" s="75"/>
      <c r="N795" s="75"/>
      <c r="O795" s="75"/>
      <c r="P795" s="75"/>
    </row>
    <row r="796" spans="12:16" x14ac:dyDescent="0.25">
      <c r="L796" s="75"/>
      <c r="M796" s="75"/>
      <c r="N796" s="75"/>
      <c r="O796" s="75"/>
      <c r="P796" s="75"/>
    </row>
    <row r="797" spans="12:16" x14ac:dyDescent="0.25">
      <c r="L797" s="75"/>
      <c r="M797" s="75"/>
      <c r="N797" s="75"/>
      <c r="O797" s="75"/>
      <c r="P797" s="75"/>
    </row>
    <row r="798" spans="12:16" x14ac:dyDescent="0.25">
      <c r="L798" s="75"/>
      <c r="M798" s="75"/>
      <c r="N798" s="75"/>
      <c r="O798" s="75"/>
      <c r="P798" s="75"/>
    </row>
    <row r="799" spans="12:16" x14ac:dyDescent="0.25">
      <c r="L799" s="75"/>
      <c r="M799" s="75"/>
      <c r="N799" s="75"/>
      <c r="O799" s="75"/>
      <c r="P799" s="75"/>
    </row>
    <row r="800" spans="12:16" x14ac:dyDescent="0.25">
      <c r="L800" s="75"/>
      <c r="M800" s="75"/>
      <c r="N800" s="75"/>
      <c r="O800" s="75"/>
      <c r="P800" s="75"/>
    </row>
    <row r="801" spans="12:16" x14ac:dyDescent="0.25">
      <c r="L801" s="75"/>
      <c r="M801" s="75"/>
      <c r="N801" s="75"/>
      <c r="O801" s="75"/>
      <c r="P801" s="75"/>
    </row>
    <row r="802" spans="12:16" x14ac:dyDescent="0.25">
      <c r="L802" s="75"/>
      <c r="M802" s="75"/>
      <c r="N802" s="75"/>
      <c r="O802" s="75"/>
      <c r="P802" s="75"/>
    </row>
    <row r="803" spans="12:16" x14ac:dyDescent="0.25">
      <c r="L803" s="75"/>
      <c r="M803" s="75"/>
      <c r="N803" s="75"/>
      <c r="O803" s="75"/>
      <c r="P803" s="75"/>
    </row>
    <row r="804" spans="12:16" x14ac:dyDescent="0.25">
      <c r="L804" s="75"/>
      <c r="M804" s="75"/>
      <c r="N804" s="75"/>
      <c r="O804" s="75"/>
      <c r="P804" s="75"/>
    </row>
    <row r="805" spans="12:16" x14ac:dyDescent="0.25">
      <c r="L805" s="75"/>
      <c r="M805" s="75"/>
      <c r="N805" s="75"/>
      <c r="O805" s="75"/>
      <c r="P805" s="75"/>
    </row>
    <row r="806" spans="12:16" x14ac:dyDescent="0.25">
      <c r="L806" s="75"/>
      <c r="M806" s="75"/>
      <c r="N806" s="75"/>
      <c r="O806" s="75"/>
      <c r="P806" s="75"/>
    </row>
    <row r="807" spans="12:16" x14ac:dyDescent="0.25">
      <c r="L807" s="75"/>
      <c r="M807" s="75"/>
      <c r="N807" s="75"/>
      <c r="O807" s="75"/>
      <c r="P807" s="75"/>
    </row>
    <row r="808" spans="12:16" x14ac:dyDescent="0.25">
      <c r="L808" s="75"/>
      <c r="M808" s="75"/>
      <c r="N808" s="75"/>
      <c r="O808" s="75"/>
      <c r="P808" s="75"/>
    </row>
    <row r="809" spans="12:16" x14ac:dyDescent="0.25">
      <c r="L809" s="75"/>
      <c r="M809" s="75"/>
      <c r="N809" s="75"/>
      <c r="O809" s="75"/>
      <c r="P809" s="75"/>
    </row>
    <row r="810" spans="12:16" x14ac:dyDescent="0.25">
      <c r="L810" s="75"/>
      <c r="M810" s="75"/>
      <c r="N810" s="75"/>
      <c r="O810" s="75"/>
      <c r="P810" s="75"/>
    </row>
    <row r="811" spans="12:16" x14ac:dyDescent="0.25">
      <c r="L811" s="75"/>
      <c r="M811" s="75"/>
      <c r="N811" s="75"/>
      <c r="O811" s="75"/>
      <c r="P811" s="75"/>
    </row>
    <row r="812" spans="12:16" x14ac:dyDescent="0.25">
      <c r="L812" s="75"/>
      <c r="M812" s="75"/>
      <c r="N812" s="75"/>
      <c r="O812" s="75"/>
      <c r="P812" s="75"/>
    </row>
    <row r="813" spans="12:16" x14ac:dyDescent="0.25">
      <c r="L813" s="75"/>
      <c r="M813" s="75"/>
      <c r="N813" s="75"/>
      <c r="O813" s="75"/>
      <c r="P813" s="75"/>
    </row>
    <row r="814" spans="12:16" x14ac:dyDescent="0.25">
      <c r="L814" s="75"/>
      <c r="M814" s="75"/>
      <c r="N814" s="75"/>
      <c r="O814" s="75"/>
      <c r="P814" s="75"/>
    </row>
    <row r="815" spans="12:16" x14ac:dyDescent="0.25">
      <c r="L815" s="75"/>
      <c r="M815" s="75"/>
      <c r="N815" s="75"/>
      <c r="O815" s="75"/>
      <c r="P815" s="75"/>
    </row>
    <row r="816" spans="12:16" x14ac:dyDescent="0.25">
      <c r="L816" s="75"/>
      <c r="M816" s="75"/>
      <c r="N816" s="75"/>
      <c r="O816" s="75"/>
      <c r="P816" s="75"/>
    </row>
    <row r="817" spans="12:16" x14ac:dyDescent="0.25">
      <c r="L817" s="75"/>
      <c r="M817" s="75"/>
      <c r="N817" s="75"/>
      <c r="O817" s="75"/>
      <c r="P817" s="75"/>
    </row>
    <row r="818" spans="12:16" x14ac:dyDescent="0.25">
      <c r="L818" s="75"/>
      <c r="M818" s="75"/>
      <c r="N818" s="75"/>
      <c r="O818" s="75"/>
      <c r="P818" s="75"/>
    </row>
    <row r="819" spans="12:16" x14ac:dyDescent="0.25">
      <c r="L819" s="75"/>
      <c r="M819" s="75"/>
      <c r="N819" s="75"/>
      <c r="O819" s="75"/>
      <c r="P819" s="75"/>
    </row>
    <row r="820" spans="12:16" x14ac:dyDescent="0.25">
      <c r="L820" s="75"/>
      <c r="M820" s="75"/>
      <c r="N820" s="75"/>
      <c r="O820" s="75"/>
      <c r="P820" s="75"/>
    </row>
    <row r="821" spans="12:16" x14ac:dyDescent="0.25">
      <c r="L821" s="75"/>
      <c r="M821" s="75"/>
      <c r="N821" s="75"/>
      <c r="O821" s="75"/>
      <c r="P821" s="75"/>
    </row>
    <row r="822" spans="12:16" x14ac:dyDescent="0.25">
      <c r="L822" s="75"/>
      <c r="M822" s="75"/>
      <c r="N822" s="75"/>
      <c r="O822" s="75"/>
      <c r="P822" s="75"/>
    </row>
    <row r="823" spans="12:16" x14ac:dyDescent="0.25">
      <c r="L823" s="75"/>
      <c r="M823" s="75"/>
      <c r="N823" s="75"/>
      <c r="O823" s="75"/>
      <c r="P823" s="75"/>
    </row>
    <row r="824" spans="12:16" x14ac:dyDescent="0.25">
      <c r="L824" s="75"/>
      <c r="M824" s="75"/>
      <c r="N824" s="75"/>
      <c r="O824" s="75"/>
      <c r="P824" s="75"/>
    </row>
    <row r="825" spans="12:16" x14ac:dyDescent="0.25">
      <c r="L825" s="75"/>
      <c r="M825" s="75"/>
      <c r="N825" s="75"/>
      <c r="O825" s="75"/>
      <c r="P825" s="75"/>
    </row>
    <row r="826" spans="12:16" x14ac:dyDescent="0.25">
      <c r="L826" s="75"/>
      <c r="M826" s="75"/>
      <c r="N826" s="75"/>
      <c r="O826" s="75"/>
      <c r="P826" s="75"/>
    </row>
    <row r="827" spans="12:16" x14ac:dyDescent="0.25">
      <c r="L827" s="75"/>
      <c r="M827" s="75"/>
      <c r="N827" s="75"/>
      <c r="O827" s="75"/>
      <c r="P827" s="75"/>
    </row>
    <row r="828" spans="12:16" x14ac:dyDescent="0.25">
      <c r="L828" s="75"/>
      <c r="M828" s="75"/>
      <c r="N828" s="75"/>
      <c r="O828" s="75"/>
      <c r="P828" s="75"/>
    </row>
    <row r="829" spans="12:16" x14ac:dyDescent="0.25">
      <c r="L829" s="75"/>
      <c r="M829" s="75"/>
      <c r="N829" s="75"/>
      <c r="O829" s="75"/>
      <c r="P829" s="75"/>
    </row>
    <row r="830" spans="12:16" x14ac:dyDescent="0.25">
      <c r="L830" s="75"/>
      <c r="M830" s="75"/>
      <c r="N830" s="75"/>
      <c r="O830" s="75"/>
      <c r="P830" s="75"/>
    </row>
    <row r="831" spans="12:16" x14ac:dyDescent="0.25">
      <c r="L831" s="75"/>
      <c r="M831" s="75"/>
      <c r="N831" s="75"/>
      <c r="O831" s="75"/>
      <c r="P831" s="75"/>
    </row>
    <row r="832" spans="12:16" x14ac:dyDescent="0.25">
      <c r="L832" s="75"/>
      <c r="M832" s="75"/>
      <c r="N832" s="75"/>
      <c r="O832" s="75"/>
      <c r="P832" s="75"/>
    </row>
    <row r="833" spans="12:16" x14ac:dyDescent="0.25">
      <c r="L833" s="75"/>
      <c r="M833" s="75"/>
      <c r="N833" s="75"/>
      <c r="O833" s="75"/>
      <c r="P833" s="75"/>
    </row>
    <row r="834" spans="12:16" x14ac:dyDescent="0.25">
      <c r="L834" s="75"/>
      <c r="M834" s="75"/>
      <c r="N834" s="75"/>
      <c r="O834" s="75"/>
      <c r="P834" s="75"/>
    </row>
    <row r="835" spans="12:16" x14ac:dyDescent="0.25">
      <c r="L835" s="75"/>
      <c r="M835" s="75"/>
      <c r="N835" s="75"/>
      <c r="O835" s="75"/>
      <c r="P835" s="75"/>
    </row>
    <row r="836" spans="12:16" x14ac:dyDescent="0.25">
      <c r="L836" s="75"/>
      <c r="M836" s="75"/>
      <c r="N836" s="75"/>
      <c r="O836" s="75"/>
      <c r="P836" s="75"/>
    </row>
    <row r="837" spans="12:16" x14ac:dyDescent="0.25">
      <c r="L837" s="75"/>
      <c r="M837" s="75"/>
      <c r="N837" s="75"/>
      <c r="O837" s="75"/>
      <c r="P837" s="75"/>
    </row>
    <row r="838" spans="12:16" x14ac:dyDescent="0.25">
      <c r="L838" s="75"/>
      <c r="M838" s="75"/>
      <c r="N838" s="75"/>
      <c r="O838" s="75"/>
      <c r="P838" s="75"/>
    </row>
    <row r="839" spans="12:16" x14ac:dyDescent="0.25">
      <c r="L839" s="75"/>
      <c r="M839" s="75"/>
      <c r="N839" s="75"/>
      <c r="O839" s="75"/>
      <c r="P839" s="75"/>
    </row>
    <row r="840" spans="12:16" x14ac:dyDescent="0.25">
      <c r="L840" s="75"/>
      <c r="M840" s="75"/>
      <c r="N840" s="75"/>
      <c r="O840" s="75"/>
      <c r="P840" s="75"/>
    </row>
    <row r="841" spans="12:16" x14ac:dyDescent="0.25">
      <c r="L841" s="75"/>
      <c r="M841" s="75"/>
      <c r="N841" s="75"/>
      <c r="O841" s="75"/>
      <c r="P841" s="75"/>
    </row>
    <row r="842" spans="12:16" x14ac:dyDescent="0.25">
      <c r="L842" s="75"/>
      <c r="M842" s="75"/>
      <c r="N842" s="75"/>
      <c r="O842" s="75"/>
      <c r="P842" s="75"/>
    </row>
    <row r="843" spans="12:16" x14ac:dyDescent="0.25">
      <c r="L843" s="75"/>
      <c r="M843" s="75"/>
      <c r="N843" s="75"/>
      <c r="O843" s="75"/>
      <c r="P843" s="75"/>
    </row>
    <row r="844" spans="12:16" x14ac:dyDescent="0.25">
      <c r="L844" s="75"/>
      <c r="M844" s="75"/>
      <c r="N844" s="75"/>
      <c r="O844" s="75"/>
      <c r="P844" s="75"/>
    </row>
    <row r="845" spans="12:16" x14ac:dyDescent="0.25">
      <c r="L845" s="75"/>
      <c r="M845" s="75"/>
      <c r="N845" s="75"/>
      <c r="O845" s="75"/>
      <c r="P845" s="75"/>
    </row>
    <row r="846" spans="12:16" x14ac:dyDescent="0.25">
      <c r="L846" s="75"/>
      <c r="M846" s="75"/>
      <c r="N846" s="75"/>
      <c r="O846" s="75"/>
      <c r="P846" s="75"/>
    </row>
    <row r="847" spans="12:16" x14ac:dyDescent="0.25">
      <c r="L847" s="75"/>
      <c r="M847" s="75"/>
      <c r="N847" s="75"/>
      <c r="O847" s="75"/>
      <c r="P847" s="75"/>
    </row>
    <row r="848" spans="12:16" x14ac:dyDescent="0.25">
      <c r="L848" s="75"/>
      <c r="M848" s="75"/>
      <c r="N848" s="75"/>
      <c r="O848" s="75"/>
      <c r="P848" s="75"/>
    </row>
    <row r="849" spans="12:16" x14ac:dyDescent="0.25">
      <c r="L849" s="75"/>
      <c r="M849" s="75"/>
      <c r="N849" s="75"/>
      <c r="O849" s="75"/>
      <c r="P849" s="75"/>
    </row>
    <row r="850" spans="12:16" x14ac:dyDescent="0.25">
      <c r="L850" s="75"/>
      <c r="M850" s="75"/>
      <c r="N850" s="75"/>
      <c r="O850" s="75"/>
      <c r="P850" s="75"/>
    </row>
    <row r="851" spans="12:16" x14ac:dyDescent="0.25">
      <c r="L851" s="75"/>
      <c r="M851" s="75"/>
      <c r="N851" s="75"/>
      <c r="O851" s="75"/>
      <c r="P851" s="75"/>
    </row>
    <row r="852" spans="12:16" x14ac:dyDescent="0.25">
      <c r="L852" s="75"/>
      <c r="M852" s="75"/>
      <c r="N852" s="75"/>
      <c r="O852" s="75"/>
      <c r="P852" s="75"/>
    </row>
    <row r="853" spans="12:16" x14ac:dyDescent="0.25">
      <c r="L853" s="75"/>
      <c r="M853" s="75"/>
      <c r="N853" s="75"/>
      <c r="O853" s="75"/>
      <c r="P853" s="75"/>
    </row>
    <row r="854" spans="12:16" x14ac:dyDescent="0.25">
      <c r="L854" s="75"/>
      <c r="M854" s="75"/>
      <c r="N854" s="75"/>
      <c r="O854" s="75"/>
      <c r="P854" s="75"/>
    </row>
    <row r="855" spans="12:16" x14ac:dyDescent="0.25">
      <c r="L855" s="75"/>
      <c r="M855" s="75"/>
      <c r="N855" s="75"/>
      <c r="O855" s="75"/>
      <c r="P855" s="75"/>
    </row>
    <row r="856" spans="12:16" x14ac:dyDescent="0.25">
      <c r="L856" s="75"/>
      <c r="M856" s="75"/>
      <c r="N856" s="75"/>
      <c r="O856" s="75"/>
      <c r="P856" s="75"/>
    </row>
    <row r="857" spans="12:16" x14ac:dyDescent="0.25">
      <c r="L857" s="75"/>
      <c r="M857" s="75"/>
      <c r="N857" s="75"/>
      <c r="O857" s="75"/>
      <c r="P857" s="75"/>
    </row>
    <row r="858" spans="12:16" x14ac:dyDescent="0.25">
      <c r="L858" s="75"/>
      <c r="M858" s="75"/>
      <c r="N858" s="75"/>
      <c r="O858" s="75"/>
      <c r="P858" s="75"/>
    </row>
    <row r="859" spans="12:16" x14ac:dyDescent="0.25">
      <c r="L859" s="75"/>
      <c r="M859" s="75"/>
      <c r="N859" s="75"/>
      <c r="O859" s="75"/>
      <c r="P859" s="75"/>
    </row>
    <row r="860" spans="12:16" x14ac:dyDescent="0.25">
      <c r="L860" s="75"/>
      <c r="M860" s="75"/>
      <c r="N860" s="75"/>
      <c r="O860" s="75"/>
      <c r="P860" s="75"/>
    </row>
    <row r="861" spans="12:16" x14ac:dyDescent="0.25">
      <c r="L861" s="75"/>
      <c r="M861" s="75"/>
      <c r="N861" s="75"/>
      <c r="O861" s="75"/>
      <c r="P861" s="75"/>
    </row>
    <row r="862" spans="12:16" x14ac:dyDescent="0.25">
      <c r="L862" s="75"/>
      <c r="M862" s="75"/>
      <c r="N862" s="75"/>
      <c r="O862" s="75"/>
      <c r="P862" s="75"/>
    </row>
    <row r="863" spans="12:16" x14ac:dyDescent="0.25">
      <c r="L863" s="75"/>
      <c r="M863" s="75"/>
      <c r="N863" s="75"/>
      <c r="O863" s="75"/>
      <c r="P863" s="75"/>
    </row>
    <row r="864" spans="12:16" x14ac:dyDescent="0.25">
      <c r="L864" s="75"/>
      <c r="M864" s="75"/>
      <c r="N864" s="75"/>
      <c r="O864" s="75"/>
      <c r="P864" s="75"/>
    </row>
    <row r="865" spans="12:16" x14ac:dyDescent="0.25">
      <c r="L865" s="75"/>
      <c r="M865" s="75"/>
      <c r="N865" s="75"/>
      <c r="O865" s="75"/>
      <c r="P865" s="75"/>
    </row>
    <row r="866" spans="12:16" x14ac:dyDescent="0.25">
      <c r="L866" s="75"/>
      <c r="M866" s="75"/>
      <c r="N866" s="75"/>
      <c r="O866" s="75"/>
      <c r="P866" s="75"/>
    </row>
    <row r="867" spans="12:16" x14ac:dyDescent="0.25">
      <c r="L867" s="75"/>
      <c r="M867" s="75"/>
      <c r="N867" s="75"/>
      <c r="O867" s="75"/>
      <c r="P867" s="75"/>
    </row>
    <row r="868" spans="12:16" x14ac:dyDescent="0.25">
      <c r="L868" s="75"/>
      <c r="M868" s="75"/>
      <c r="N868" s="75"/>
      <c r="O868" s="75"/>
      <c r="P868" s="75"/>
    </row>
    <row r="869" spans="12:16" x14ac:dyDescent="0.25">
      <c r="L869" s="75"/>
      <c r="M869" s="75"/>
      <c r="N869" s="75"/>
      <c r="O869" s="75"/>
      <c r="P869" s="75"/>
    </row>
    <row r="870" spans="12:16" x14ac:dyDescent="0.25">
      <c r="L870" s="75"/>
      <c r="M870" s="75"/>
      <c r="N870" s="75"/>
      <c r="O870" s="75"/>
      <c r="P870" s="75"/>
    </row>
    <row r="871" spans="12:16" x14ac:dyDescent="0.25">
      <c r="L871" s="75"/>
      <c r="M871" s="75"/>
      <c r="N871" s="75"/>
      <c r="O871" s="75"/>
      <c r="P871" s="75"/>
    </row>
    <row r="872" spans="12:16" x14ac:dyDescent="0.25">
      <c r="L872" s="75"/>
      <c r="M872" s="75"/>
      <c r="N872" s="75"/>
      <c r="O872" s="75"/>
      <c r="P872" s="75"/>
    </row>
    <row r="873" spans="12:16" x14ac:dyDescent="0.25">
      <c r="L873" s="75"/>
      <c r="M873" s="75"/>
      <c r="N873" s="75"/>
      <c r="O873" s="75"/>
      <c r="P873" s="75"/>
    </row>
    <row r="874" spans="12:16" x14ac:dyDescent="0.25">
      <c r="L874" s="75"/>
      <c r="M874" s="75"/>
      <c r="N874" s="75"/>
      <c r="O874" s="75"/>
      <c r="P874" s="75"/>
    </row>
    <row r="875" spans="12:16" x14ac:dyDescent="0.25">
      <c r="L875" s="75"/>
      <c r="M875" s="75"/>
      <c r="N875" s="75"/>
      <c r="O875" s="75"/>
      <c r="P875" s="75"/>
    </row>
    <row r="876" spans="12:16" x14ac:dyDescent="0.25">
      <c r="L876" s="75"/>
      <c r="M876" s="75"/>
      <c r="N876" s="75"/>
      <c r="O876" s="75"/>
      <c r="P876" s="75"/>
    </row>
    <row r="877" spans="12:16" x14ac:dyDescent="0.25">
      <c r="L877" s="75"/>
      <c r="M877" s="75"/>
      <c r="N877" s="75"/>
      <c r="O877" s="75"/>
      <c r="P877" s="75"/>
    </row>
    <row r="878" spans="12:16" x14ac:dyDescent="0.25">
      <c r="L878" s="75"/>
      <c r="M878" s="75"/>
      <c r="N878" s="75"/>
      <c r="O878" s="75"/>
      <c r="P878" s="75"/>
    </row>
    <row r="879" spans="12:16" x14ac:dyDescent="0.25">
      <c r="L879" s="75"/>
      <c r="M879" s="75"/>
      <c r="N879" s="75"/>
      <c r="O879" s="75"/>
      <c r="P879" s="75"/>
    </row>
    <row r="880" spans="12:16" x14ac:dyDescent="0.25">
      <c r="L880" s="75"/>
      <c r="M880" s="75"/>
      <c r="N880" s="75"/>
      <c r="O880" s="75"/>
      <c r="P880" s="75"/>
    </row>
    <row r="881" spans="12:16" x14ac:dyDescent="0.25">
      <c r="L881" s="75"/>
      <c r="M881" s="75"/>
      <c r="N881" s="75"/>
      <c r="O881" s="75"/>
      <c r="P881" s="75"/>
    </row>
    <row r="882" spans="12:16" x14ac:dyDescent="0.25">
      <c r="L882" s="75"/>
      <c r="M882" s="75"/>
      <c r="N882" s="75"/>
      <c r="O882" s="75"/>
      <c r="P882" s="75"/>
    </row>
    <row r="883" spans="12:16" x14ac:dyDescent="0.25">
      <c r="L883" s="75"/>
      <c r="M883" s="75"/>
      <c r="N883" s="75"/>
      <c r="O883" s="75"/>
      <c r="P883" s="75"/>
    </row>
    <row r="884" spans="12:16" x14ac:dyDescent="0.25">
      <c r="L884" s="75"/>
      <c r="M884" s="75"/>
      <c r="N884" s="75"/>
      <c r="O884" s="75"/>
      <c r="P884" s="75"/>
    </row>
    <row r="885" spans="12:16" x14ac:dyDescent="0.25">
      <c r="L885" s="75"/>
      <c r="M885" s="75"/>
      <c r="N885" s="75"/>
      <c r="O885" s="75"/>
      <c r="P885" s="75"/>
    </row>
    <row r="886" spans="12:16" x14ac:dyDescent="0.25">
      <c r="L886" s="75"/>
      <c r="M886" s="75"/>
      <c r="N886" s="75"/>
      <c r="O886" s="75"/>
      <c r="P886" s="75"/>
    </row>
    <row r="887" spans="12:16" x14ac:dyDescent="0.25">
      <c r="L887" s="75"/>
      <c r="M887" s="75"/>
      <c r="N887" s="75"/>
      <c r="O887" s="75"/>
      <c r="P887" s="75"/>
    </row>
    <row r="888" spans="12:16" x14ac:dyDescent="0.25">
      <c r="L888" s="75"/>
      <c r="M888" s="75"/>
      <c r="N888" s="75"/>
      <c r="O888" s="75"/>
      <c r="P888" s="75"/>
    </row>
    <row r="889" spans="12:16" x14ac:dyDescent="0.25">
      <c r="L889" s="75"/>
      <c r="M889" s="75"/>
      <c r="N889" s="75"/>
      <c r="O889" s="75"/>
      <c r="P889" s="75"/>
    </row>
    <row r="890" spans="12:16" x14ac:dyDescent="0.25">
      <c r="L890" s="75"/>
      <c r="M890" s="75"/>
      <c r="N890" s="75"/>
      <c r="O890" s="75"/>
      <c r="P890" s="75"/>
    </row>
    <row r="891" spans="12:16" x14ac:dyDescent="0.25">
      <c r="L891" s="75"/>
      <c r="M891" s="75"/>
      <c r="N891" s="75"/>
      <c r="O891" s="75"/>
      <c r="P891" s="75"/>
    </row>
    <row r="892" spans="12:16" x14ac:dyDescent="0.25">
      <c r="L892" s="75"/>
      <c r="M892" s="75"/>
      <c r="N892" s="75"/>
      <c r="O892" s="75"/>
      <c r="P892" s="75"/>
    </row>
    <row r="893" spans="12:16" x14ac:dyDescent="0.25">
      <c r="L893" s="75"/>
      <c r="M893" s="75"/>
      <c r="N893" s="75"/>
      <c r="O893" s="75"/>
      <c r="P893" s="75"/>
    </row>
    <row r="894" spans="12:16" x14ac:dyDescent="0.25">
      <c r="L894" s="75"/>
      <c r="M894" s="75"/>
      <c r="N894" s="75"/>
      <c r="O894" s="75"/>
      <c r="P894" s="75"/>
    </row>
    <row r="895" spans="12:16" x14ac:dyDescent="0.25">
      <c r="L895" s="75"/>
      <c r="M895" s="75"/>
      <c r="N895" s="75"/>
      <c r="O895" s="75"/>
      <c r="P895" s="75"/>
    </row>
    <row r="896" spans="12:16" x14ac:dyDescent="0.25">
      <c r="L896" s="75"/>
      <c r="M896" s="75"/>
      <c r="N896" s="75"/>
      <c r="O896" s="75"/>
      <c r="P896" s="75"/>
    </row>
    <row r="897" spans="12:16" x14ac:dyDescent="0.25">
      <c r="L897" s="75"/>
      <c r="M897" s="75"/>
      <c r="N897" s="75"/>
      <c r="O897" s="75"/>
      <c r="P897" s="75"/>
    </row>
    <row r="898" spans="12:16" x14ac:dyDescent="0.25">
      <c r="L898" s="75"/>
      <c r="M898" s="75"/>
      <c r="N898" s="75"/>
      <c r="O898" s="75"/>
      <c r="P898" s="75"/>
    </row>
    <row r="899" spans="12:16" x14ac:dyDescent="0.25">
      <c r="L899" s="75"/>
      <c r="M899" s="75"/>
      <c r="N899" s="75"/>
      <c r="O899" s="75"/>
      <c r="P899" s="75"/>
    </row>
    <row r="900" spans="12:16" x14ac:dyDescent="0.25">
      <c r="L900" s="75"/>
      <c r="M900" s="75"/>
      <c r="N900" s="75"/>
      <c r="O900" s="75"/>
      <c r="P900" s="75"/>
    </row>
    <row r="901" spans="12:16" x14ac:dyDescent="0.25">
      <c r="L901" s="75"/>
      <c r="M901" s="75"/>
      <c r="N901" s="75"/>
      <c r="O901" s="75"/>
      <c r="P901" s="75"/>
    </row>
    <row r="902" spans="12:16" x14ac:dyDescent="0.25">
      <c r="L902" s="75"/>
      <c r="M902" s="75"/>
      <c r="N902" s="75"/>
      <c r="O902" s="75"/>
      <c r="P902" s="75"/>
    </row>
    <row r="903" spans="12:16" x14ac:dyDescent="0.25">
      <c r="L903" s="75"/>
      <c r="M903" s="75"/>
      <c r="N903" s="75"/>
      <c r="O903" s="75"/>
      <c r="P903" s="75"/>
    </row>
    <row r="904" spans="12:16" x14ac:dyDescent="0.25">
      <c r="L904" s="75"/>
      <c r="M904" s="75"/>
      <c r="N904" s="75"/>
      <c r="O904" s="75"/>
      <c r="P904" s="75"/>
    </row>
    <row r="905" spans="12:16" x14ac:dyDescent="0.25">
      <c r="L905" s="75"/>
      <c r="M905" s="75"/>
      <c r="N905" s="75"/>
      <c r="O905" s="75"/>
      <c r="P905" s="75"/>
    </row>
    <row r="906" spans="12:16" x14ac:dyDescent="0.25">
      <c r="L906" s="75"/>
      <c r="M906" s="75"/>
      <c r="N906" s="75"/>
      <c r="O906" s="75"/>
      <c r="P906" s="75"/>
    </row>
    <row r="907" spans="12:16" x14ac:dyDescent="0.25">
      <c r="L907" s="75"/>
      <c r="M907" s="75"/>
      <c r="N907" s="75"/>
      <c r="O907" s="75"/>
      <c r="P907" s="75"/>
    </row>
    <row r="908" spans="12:16" x14ac:dyDescent="0.25">
      <c r="L908" s="75"/>
      <c r="M908" s="75"/>
      <c r="N908" s="75"/>
      <c r="O908" s="75"/>
      <c r="P908" s="75"/>
    </row>
    <row r="909" spans="12:16" x14ac:dyDescent="0.25">
      <c r="L909" s="75"/>
      <c r="M909" s="75"/>
      <c r="N909" s="75"/>
      <c r="O909" s="75"/>
      <c r="P909" s="75"/>
    </row>
    <row r="910" spans="12:16" x14ac:dyDescent="0.25">
      <c r="L910" s="75"/>
      <c r="M910" s="75"/>
      <c r="N910" s="75"/>
      <c r="O910" s="75"/>
      <c r="P910" s="75"/>
    </row>
    <row r="911" spans="12:16" x14ac:dyDescent="0.25">
      <c r="L911" s="75"/>
      <c r="M911" s="75"/>
      <c r="N911" s="75"/>
      <c r="O911" s="75"/>
      <c r="P911" s="75"/>
    </row>
    <row r="912" spans="12:16" x14ac:dyDescent="0.25">
      <c r="L912" s="75"/>
      <c r="M912" s="75"/>
      <c r="N912" s="75"/>
      <c r="O912" s="75"/>
      <c r="P912" s="75"/>
    </row>
    <row r="913" spans="12:16" x14ac:dyDescent="0.25">
      <c r="L913" s="75"/>
      <c r="M913" s="75"/>
      <c r="N913" s="75"/>
      <c r="O913" s="75"/>
      <c r="P913" s="75"/>
    </row>
    <row r="914" spans="12:16" x14ac:dyDescent="0.25">
      <c r="L914" s="75"/>
      <c r="M914" s="75"/>
      <c r="N914" s="75"/>
      <c r="O914" s="75"/>
      <c r="P914" s="75"/>
    </row>
    <row r="915" spans="12:16" x14ac:dyDescent="0.25">
      <c r="L915" s="75"/>
      <c r="M915" s="75"/>
      <c r="N915" s="75"/>
      <c r="O915" s="75"/>
      <c r="P915" s="75"/>
    </row>
    <row r="916" spans="12:16" x14ac:dyDescent="0.25">
      <c r="L916" s="75"/>
      <c r="M916" s="75"/>
      <c r="N916" s="75"/>
      <c r="O916" s="75"/>
      <c r="P916" s="75"/>
    </row>
    <row r="917" spans="12:16" x14ac:dyDescent="0.25">
      <c r="L917" s="75"/>
      <c r="M917" s="75"/>
      <c r="N917" s="75"/>
      <c r="O917" s="75"/>
      <c r="P917" s="75"/>
    </row>
    <row r="918" spans="12:16" x14ac:dyDescent="0.25">
      <c r="L918" s="75"/>
      <c r="M918" s="75"/>
      <c r="N918" s="75"/>
      <c r="O918" s="75"/>
      <c r="P918" s="75"/>
    </row>
    <row r="919" spans="12:16" x14ac:dyDescent="0.25">
      <c r="L919" s="75"/>
      <c r="M919" s="75"/>
      <c r="N919" s="75"/>
      <c r="O919" s="75"/>
      <c r="P919" s="75"/>
    </row>
    <row r="920" spans="12:16" x14ac:dyDescent="0.25">
      <c r="L920" s="75"/>
      <c r="M920" s="75"/>
      <c r="N920" s="75"/>
      <c r="O920" s="75"/>
      <c r="P920" s="75"/>
    </row>
    <row r="921" spans="12:16" x14ac:dyDescent="0.25">
      <c r="L921" s="75"/>
      <c r="M921" s="75"/>
      <c r="N921" s="75"/>
      <c r="O921" s="75"/>
      <c r="P921" s="75"/>
    </row>
    <row r="922" spans="12:16" x14ac:dyDescent="0.25">
      <c r="L922" s="75"/>
      <c r="M922" s="75"/>
      <c r="N922" s="75"/>
      <c r="O922" s="75"/>
      <c r="P922" s="75"/>
    </row>
    <row r="923" spans="12:16" x14ac:dyDescent="0.25">
      <c r="L923" s="75"/>
      <c r="M923" s="75"/>
      <c r="N923" s="75"/>
      <c r="O923" s="75"/>
      <c r="P923" s="75"/>
    </row>
    <row r="924" spans="12:16" x14ac:dyDescent="0.25">
      <c r="L924" s="75"/>
      <c r="M924" s="75"/>
      <c r="N924" s="75"/>
      <c r="O924" s="75"/>
      <c r="P924" s="75"/>
    </row>
    <row r="925" spans="12:16" x14ac:dyDescent="0.25">
      <c r="L925" s="75"/>
      <c r="M925" s="75"/>
      <c r="N925" s="75"/>
      <c r="O925" s="75"/>
      <c r="P925" s="75"/>
    </row>
    <row r="926" spans="12:16" x14ac:dyDescent="0.25">
      <c r="L926" s="75"/>
      <c r="M926" s="75"/>
      <c r="N926" s="75"/>
      <c r="O926" s="75"/>
      <c r="P926" s="75"/>
    </row>
    <row r="927" spans="12:16" x14ac:dyDescent="0.25">
      <c r="L927" s="75"/>
      <c r="M927" s="75"/>
      <c r="N927" s="75"/>
      <c r="O927" s="75"/>
      <c r="P927" s="75"/>
    </row>
    <row r="928" spans="12:16" x14ac:dyDescent="0.25">
      <c r="L928" s="75"/>
      <c r="M928" s="75"/>
      <c r="N928" s="75"/>
      <c r="O928" s="75"/>
      <c r="P928" s="75"/>
    </row>
    <row r="929" spans="12:16" x14ac:dyDescent="0.25">
      <c r="L929" s="75"/>
      <c r="M929" s="75"/>
      <c r="N929" s="75"/>
      <c r="O929" s="75"/>
      <c r="P929" s="75"/>
    </row>
    <row r="930" spans="12:16" x14ac:dyDescent="0.25">
      <c r="L930" s="75"/>
      <c r="M930" s="75"/>
      <c r="N930" s="75"/>
      <c r="O930" s="75"/>
      <c r="P930" s="75"/>
    </row>
    <row r="931" spans="12:16" x14ac:dyDescent="0.25">
      <c r="L931" s="75"/>
      <c r="M931" s="75"/>
      <c r="N931" s="75"/>
      <c r="O931" s="75"/>
      <c r="P931" s="75"/>
    </row>
    <row r="932" spans="12:16" x14ac:dyDescent="0.25">
      <c r="L932" s="75"/>
      <c r="M932" s="75"/>
      <c r="N932" s="75"/>
      <c r="O932" s="75"/>
      <c r="P932" s="75"/>
    </row>
    <row r="933" spans="12:16" x14ac:dyDescent="0.25">
      <c r="L933" s="75"/>
      <c r="M933" s="75"/>
      <c r="N933" s="75"/>
      <c r="O933" s="75"/>
      <c r="P933" s="75"/>
    </row>
    <row r="934" spans="12:16" x14ac:dyDescent="0.25">
      <c r="L934" s="75"/>
      <c r="M934" s="75"/>
      <c r="N934" s="75"/>
      <c r="O934" s="75"/>
      <c r="P934" s="75"/>
    </row>
    <row r="935" spans="12:16" x14ac:dyDescent="0.25">
      <c r="L935" s="75"/>
      <c r="M935" s="75"/>
      <c r="N935" s="75"/>
      <c r="O935" s="75"/>
      <c r="P935" s="75"/>
    </row>
    <row r="936" spans="12:16" x14ac:dyDescent="0.25">
      <c r="L936" s="75"/>
      <c r="M936" s="75"/>
      <c r="N936" s="75"/>
      <c r="O936" s="75"/>
      <c r="P936" s="75"/>
    </row>
    <row r="937" spans="12:16" x14ac:dyDescent="0.25">
      <c r="L937" s="75"/>
      <c r="M937" s="75"/>
      <c r="N937" s="75"/>
      <c r="O937" s="75"/>
      <c r="P937" s="75"/>
    </row>
    <row r="938" spans="12:16" x14ac:dyDescent="0.25">
      <c r="L938" s="75"/>
      <c r="M938" s="75"/>
      <c r="N938" s="75"/>
      <c r="O938" s="75"/>
      <c r="P938" s="75"/>
    </row>
    <row r="939" spans="12:16" x14ac:dyDescent="0.25">
      <c r="L939" s="75"/>
      <c r="M939" s="75"/>
      <c r="N939" s="75"/>
      <c r="O939" s="75"/>
      <c r="P939" s="75"/>
    </row>
    <row r="940" spans="12:16" x14ac:dyDescent="0.25">
      <c r="L940" s="75"/>
      <c r="M940" s="75"/>
      <c r="N940" s="75"/>
      <c r="O940" s="75"/>
      <c r="P940" s="75"/>
    </row>
    <row r="941" spans="12:16" x14ac:dyDescent="0.25">
      <c r="L941" s="75"/>
      <c r="M941" s="75"/>
      <c r="N941" s="75"/>
      <c r="O941" s="75"/>
      <c r="P941" s="75"/>
    </row>
    <row r="942" spans="12:16" x14ac:dyDescent="0.25">
      <c r="L942" s="75"/>
      <c r="M942" s="75"/>
      <c r="N942" s="75"/>
      <c r="O942" s="75"/>
      <c r="P942" s="75"/>
    </row>
    <row r="943" spans="12:16" x14ac:dyDescent="0.25">
      <c r="L943" s="75"/>
      <c r="M943" s="75"/>
      <c r="N943" s="75"/>
      <c r="O943" s="75"/>
      <c r="P943" s="75"/>
    </row>
    <row r="944" spans="12:16" x14ac:dyDescent="0.25">
      <c r="L944" s="75"/>
      <c r="M944" s="75"/>
      <c r="N944" s="75"/>
      <c r="O944" s="75"/>
      <c r="P944" s="75"/>
    </row>
    <row r="945" spans="12:16" x14ac:dyDescent="0.25">
      <c r="L945" s="75"/>
      <c r="M945" s="75"/>
      <c r="N945" s="75"/>
      <c r="O945" s="75"/>
      <c r="P945" s="75"/>
    </row>
    <row r="946" spans="12:16" x14ac:dyDescent="0.25">
      <c r="L946" s="75"/>
      <c r="M946" s="75"/>
      <c r="N946" s="75"/>
      <c r="O946" s="75"/>
      <c r="P946" s="75"/>
    </row>
    <row r="947" spans="12:16" x14ac:dyDescent="0.25">
      <c r="L947" s="75"/>
      <c r="M947" s="75"/>
      <c r="N947" s="75"/>
      <c r="O947" s="75"/>
      <c r="P947" s="75"/>
    </row>
    <row r="948" spans="12:16" x14ac:dyDescent="0.25">
      <c r="L948" s="75"/>
      <c r="M948" s="75"/>
      <c r="N948" s="75"/>
      <c r="O948" s="75"/>
      <c r="P948" s="75"/>
    </row>
    <row r="949" spans="12:16" x14ac:dyDescent="0.25">
      <c r="L949" s="75"/>
      <c r="M949" s="75"/>
      <c r="N949" s="75"/>
      <c r="O949" s="75"/>
      <c r="P949" s="75"/>
    </row>
    <row r="950" spans="12:16" x14ac:dyDescent="0.25">
      <c r="L950" s="75"/>
      <c r="M950" s="75"/>
      <c r="N950" s="75"/>
      <c r="O950" s="75"/>
      <c r="P950" s="75"/>
    </row>
    <row r="951" spans="12:16" x14ac:dyDescent="0.25">
      <c r="L951" s="75"/>
      <c r="M951" s="75"/>
      <c r="N951" s="75"/>
      <c r="O951" s="75"/>
      <c r="P951" s="75"/>
    </row>
    <row r="952" spans="12:16" x14ac:dyDescent="0.25">
      <c r="L952" s="75"/>
      <c r="M952" s="75"/>
      <c r="N952" s="75"/>
      <c r="O952" s="75"/>
      <c r="P952" s="75"/>
    </row>
    <row r="953" spans="12:16" x14ac:dyDescent="0.25">
      <c r="L953" s="75"/>
      <c r="M953" s="75"/>
      <c r="N953" s="75"/>
      <c r="O953" s="75"/>
      <c r="P953" s="75"/>
    </row>
    <row r="954" spans="12:16" x14ac:dyDescent="0.25">
      <c r="L954" s="75"/>
      <c r="M954" s="75"/>
      <c r="N954" s="75"/>
      <c r="O954" s="75"/>
      <c r="P954" s="75"/>
    </row>
    <row r="955" spans="12:16" x14ac:dyDescent="0.25">
      <c r="L955" s="75"/>
      <c r="M955" s="75"/>
      <c r="N955" s="75"/>
      <c r="O955" s="75"/>
      <c r="P955" s="75"/>
    </row>
    <row r="956" spans="12:16" x14ac:dyDescent="0.25">
      <c r="L956" s="75"/>
      <c r="M956" s="75"/>
      <c r="N956" s="75"/>
      <c r="O956" s="75"/>
      <c r="P956" s="75"/>
    </row>
    <row r="957" spans="12:16" x14ac:dyDescent="0.25">
      <c r="L957" s="75"/>
      <c r="M957" s="75"/>
      <c r="N957" s="75"/>
      <c r="O957" s="75"/>
      <c r="P957" s="75"/>
    </row>
    <row r="958" spans="12:16" x14ac:dyDescent="0.25">
      <c r="L958" s="75"/>
      <c r="M958" s="75"/>
      <c r="N958" s="75"/>
      <c r="O958" s="75"/>
      <c r="P958" s="75"/>
    </row>
    <row r="959" spans="12:16" x14ac:dyDescent="0.25">
      <c r="L959" s="75"/>
      <c r="M959" s="75"/>
      <c r="N959" s="75"/>
      <c r="O959" s="75"/>
      <c r="P959" s="75"/>
    </row>
    <row r="960" spans="12:16" x14ac:dyDescent="0.25">
      <c r="L960" s="75"/>
      <c r="M960" s="75"/>
      <c r="N960" s="75"/>
      <c r="O960" s="75"/>
      <c r="P960" s="75"/>
    </row>
    <row r="961" spans="12:16" x14ac:dyDescent="0.25">
      <c r="L961" s="75"/>
      <c r="M961" s="75"/>
      <c r="N961" s="75"/>
      <c r="O961" s="75"/>
      <c r="P961" s="75"/>
    </row>
    <row r="962" spans="12:16" x14ac:dyDescent="0.25">
      <c r="L962" s="75"/>
      <c r="M962" s="75"/>
      <c r="N962" s="75"/>
      <c r="O962" s="75"/>
      <c r="P962" s="75"/>
    </row>
    <row r="963" spans="12:16" x14ac:dyDescent="0.25">
      <c r="L963" s="75"/>
      <c r="M963" s="75"/>
      <c r="N963" s="75"/>
      <c r="O963" s="75"/>
      <c r="P963" s="75"/>
    </row>
    <row r="964" spans="12:16" x14ac:dyDescent="0.25">
      <c r="L964" s="75"/>
      <c r="M964" s="75"/>
      <c r="N964" s="75"/>
      <c r="O964" s="75"/>
      <c r="P964" s="75"/>
    </row>
    <row r="965" spans="12:16" x14ac:dyDescent="0.25">
      <c r="L965" s="75"/>
      <c r="M965" s="75"/>
      <c r="N965" s="75"/>
      <c r="O965" s="75"/>
      <c r="P965" s="75"/>
    </row>
    <row r="966" spans="12:16" x14ac:dyDescent="0.25">
      <c r="L966" s="75"/>
      <c r="M966" s="75"/>
      <c r="N966" s="75"/>
      <c r="O966" s="75"/>
      <c r="P966" s="75"/>
    </row>
    <row r="967" spans="12:16" x14ac:dyDescent="0.25">
      <c r="L967" s="75"/>
      <c r="M967" s="75"/>
      <c r="N967" s="75"/>
      <c r="O967" s="75"/>
      <c r="P967" s="75"/>
    </row>
    <row r="968" spans="12:16" x14ac:dyDescent="0.25">
      <c r="L968" s="75"/>
      <c r="M968" s="75"/>
      <c r="N968" s="75"/>
      <c r="O968" s="75"/>
      <c r="P968" s="75"/>
    </row>
    <row r="969" spans="12:16" x14ac:dyDescent="0.25">
      <c r="L969" s="75"/>
      <c r="M969" s="75"/>
      <c r="N969" s="75"/>
      <c r="O969" s="75"/>
      <c r="P969" s="75"/>
    </row>
    <row r="970" spans="12:16" x14ac:dyDescent="0.25">
      <c r="L970" s="75"/>
      <c r="M970" s="75"/>
      <c r="N970" s="75"/>
      <c r="O970" s="75"/>
      <c r="P970" s="75"/>
    </row>
    <row r="971" spans="12:16" x14ac:dyDescent="0.25">
      <c r="L971" s="75"/>
      <c r="M971" s="75"/>
      <c r="N971" s="75"/>
      <c r="O971" s="75"/>
      <c r="P971" s="75"/>
    </row>
    <row r="972" spans="12:16" x14ac:dyDescent="0.25">
      <c r="L972" s="75"/>
      <c r="M972" s="75"/>
      <c r="N972" s="75"/>
      <c r="O972" s="75"/>
      <c r="P972" s="75"/>
    </row>
    <row r="973" spans="12:16" x14ac:dyDescent="0.25">
      <c r="L973" s="75"/>
      <c r="M973" s="75"/>
      <c r="N973" s="75"/>
      <c r="O973" s="75"/>
      <c r="P973" s="75"/>
    </row>
    <row r="974" spans="12:16" x14ac:dyDescent="0.25">
      <c r="L974" s="75"/>
      <c r="M974" s="75"/>
      <c r="N974" s="75"/>
      <c r="O974" s="75"/>
      <c r="P974" s="75"/>
    </row>
    <row r="975" spans="12:16" x14ac:dyDescent="0.25">
      <c r="L975" s="75"/>
      <c r="M975" s="75"/>
      <c r="N975" s="75"/>
      <c r="O975" s="75"/>
      <c r="P975" s="75"/>
    </row>
    <row r="976" spans="12:16" x14ac:dyDescent="0.25">
      <c r="L976" s="75"/>
      <c r="M976" s="75"/>
      <c r="N976" s="75"/>
      <c r="O976" s="75"/>
      <c r="P976" s="75"/>
    </row>
    <row r="977" spans="12:16" x14ac:dyDescent="0.25">
      <c r="L977" s="75"/>
      <c r="M977" s="75"/>
      <c r="N977" s="75"/>
      <c r="O977" s="75"/>
      <c r="P977" s="75"/>
    </row>
    <row r="978" spans="12:16" x14ac:dyDescent="0.25">
      <c r="L978" s="75"/>
      <c r="M978" s="75"/>
      <c r="N978" s="75"/>
      <c r="O978" s="75"/>
      <c r="P978" s="75"/>
    </row>
    <row r="979" spans="12:16" x14ac:dyDescent="0.25">
      <c r="L979" s="75"/>
      <c r="M979" s="75"/>
      <c r="N979" s="75"/>
      <c r="O979" s="75"/>
      <c r="P979" s="75"/>
    </row>
    <row r="980" spans="12:16" x14ac:dyDescent="0.25">
      <c r="L980" s="75"/>
      <c r="M980" s="75"/>
      <c r="N980" s="75"/>
      <c r="O980" s="75"/>
      <c r="P980" s="75"/>
    </row>
    <row r="981" spans="12:16" x14ac:dyDescent="0.25">
      <c r="L981" s="75"/>
      <c r="M981" s="75"/>
      <c r="N981" s="75"/>
      <c r="O981" s="75"/>
      <c r="P981" s="75"/>
    </row>
    <row r="982" spans="12:16" x14ac:dyDescent="0.25">
      <c r="L982" s="75"/>
      <c r="M982" s="75"/>
      <c r="N982" s="75"/>
      <c r="O982" s="75"/>
      <c r="P982" s="75"/>
    </row>
    <row r="983" spans="12:16" x14ac:dyDescent="0.25">
      <c r="L983" s="75"/>
      <c r="M983" s="75"/>
      <c r="N983" s="75"/>
      <c r="O983" s="75"/>
      <c r="P983" s="75"/>
    </row>
    <row r="984" spans="12:16" x14ac:dyDescent="0.25">
      <c r="L984" s="75"/>
      <c r="M984" s="75"/>
      <c r="N984" s="75"/>
      <c r="O984" s="75"/>
      <c r="P984" s="75"/>
    </row>
    <row r="985" spans="12:16" x14ac:dyDescent="0.25">
      <c r="L985" s="75"/>
      <c r="M985" s="75"/>
      <c r="N985" s="75"/>
      <c r="O985" s="75"/>
      <c r="P985" s="75"/>
    </row>
    <row r="986" spans="12:16" x14ac:dyDescent="0.25">
      <c r="L986" s="75"/>
      <c r="M986" s="75"/>
      <c r="N986" s="75"/>
      <c r="O986" s="75"/>
      <c r="P986" s="75"/>
    </row>
    <row r="987" spans="12:16" x14ac:dyDescent="0.25">
      <c r="L987" s="75"/>
      <c r="M987" s="75"/>
      <c r="N987" s="75"/>
      <c r="O987" s="75"/>
      <c r="P987" s="75"/>
    </row>
    <row r="988" spans="12:16" x14ac:dyDescent="0.25">
      <c r="L988" s="75"/>
      <c r="M988" s="75"/>
      <c r="N988" s="75"/>
      <c r="O988" s="75"/>
      <c r="P988" s="75"/>
    </row>
    <row r="989" spans="12:16" x14ac:dyDescent="0.25">
      <c r="L989" s="75"/>
      <c r="M989" s="75"/>
      <c r="N989" s="75"/>
      <c r="O989" s="75"/>
      <c r="P989" s="75"/>
    </row>
    <row r="990" spans="12:16" x14ac:dyDescent="0.25">
      <c r="L990" s="75"/>
      <c r="M990" s="75"/>
      <c r="N990" s="75"/>
      <c r="O990" s="75"/>
      <c r="P990" s="75"/>
    </row>
    <row r="991" spans="12:16" x14ac:dyDescent="0.25">
      <c r="L991" s="75"/>
      <c r="M991" s="75"/>
      <c r="N991" s="75"/>
      <c r="O991" s="75"/>
      <c r="P991" s="75"/>
    </row>
    <row r="992" spans="12:16" x14ac:dyDescent="0.25">
      <c r="L992" s="75"/>
      <c r="M992" s="75"/>
      <c r="N992" s="75"/>
      <c r="O992" s="75"/>
      <c r="P992" s="75"/>
    </row>
    <row r="993" spans="12:16" x14ac:dyDescent="0.25">
      <c r="L993" s="75"/>
      <c r="M993" s="75"/>
      <c r="N993" s="75"/>
      <c r="O993" s="75"/>
      <c r="P993" s="75"/>
    </row>
    <row r="994" spans="12:16" x14ac:dyDescent="0.25">
      <c r="L994" s="75"/>
      <c r="M994" s="75"/>
      <c r="N994" s="75"/>
      <c r="O994" s="75"/>
      <c r="P994" s="75"/>
    </row>
    <row r="995" spans="12:16" x14ac:dyDescent="0.25">
      <c r="L995" s="75"/>
      <c r="M995" s="75"/>
      <c r="N995" s="75"/>
      <c r="O995" s="75"/>
      <c r="P995" s="75"/>
    </row>
    <row r="996" spans="12:16" x14ac:dyDescent="0.25">
      <c r="L996" s="75"/>
      <c r="M996" s="75"/>
      <c r="N996" s="75"/>
      <c r="O996" s="75"/>
      <c r="P996" s="75"/>
    </row>
    <row r="997" spans="12:16" x14ac:dyDescent="0.25">
      <c r="L997" s="75"/>
      <c r="M997" s="75"/>
      <c r="N997" s="75"/>
      <c r="O997" s="75"/>
      <c r="P997" s="75"/>
    </row>
    <row r="998" spans="12:16" x14ac:dyDescent="0.25">
      <c r="L998" s="75"/>
      <c r="M998" s="75"/>
      <c r="N998" s="75"/>
      <c r="O998" s="75"/>
      <c r="P998" s="75"/>
    </row>
    <row r="999" spans="12:16" x14ac:dyDescent="0.25">
      <c r="L999" s="75"/>
      <c r="M999" s="75"/>
      <c r="N999" s="75"/>
      <c r="O999" s="75"/>
      <c r="P999" s="75"/>
    </row>
    <row r="1000" spans="12:16" x14ac:dyDescent="0.25">
      <c r="L1000" s="75"/>
      <c r="M1000" s="75"/>
      <c r="N1000" s="75"/>
      <c r="O1000" s="75"/>
      <c r="P1000" s="75"/>
    </row>
    <row r="1001" spans="12:16" x14ac:dyDescent="0.25">
      <c r="L1001" s="75"/>
      <c r="M1001" s="75"/>
      <c r="N1001" s="75"/>
      <c r="O1001" s="75"/>
      <c r="P1001" s="75"/>
    </row>
    <row r="1002" spans="12:16" x14ac:dyDescent="0.25">
      <c r="L1002" s="75"/>
      <c r="M1002" s="75"/>
      <c r="N1002" s="75"/>
      <c r="O1002" s="75"/>
      <c r="P1002" s="75"/>
    </row>
    <row r="1003" spans="12:16" x14ac:dyDescent="0.25">
      <c r="L1003" s="75"/>
      <c r="M1003" s="75"/>
      <c r="N1003" s="75"/>
      <c r="O1003" s="75"/>
      <c r="P1003" s="75"/>
    </row>
    <row r="1004" spans="12:16" x14ac:dyDescent="0.25">
      <c r="L1004" s="75"/>
      <c r="M1004" s="75"/>
      <c r="N1004" s="75"/>
      <c r="O1004" s="75"/>
      <c r="P1004" s="75"/>
    </row>
    <row r="1005" spans="12:16" x14ac:dyDescent="0.25">
      <c r="L1005" s="75"/>
      <c r="M1005" s="75"/>
      <c r="N1005" s="75"/>
      <c r="O1005" s="75"/>
      <c r="P1005" s="75"/>
    </row>
    <row r="1006" spans="12:16" x14ac:dyDescent="0.25">
      <c r="L1006" s="75"/>
      <c r="M1006" s="75"/>
      <c r="N1006" s="75"/>
      <c r="O1006" s="75"/>
      <c r="P1006" s="75"/>
    </row>
    <row r="1007" spans="12:16" x14ac:dyDescent="0.25">
      <c r="L1007" s="75"/>
      <c r="M1007" s="75"/>
      <c r="N1007" s="75"/>
      <c r="O1007" s="75"/>
      <c r="P1007" s="75"/>
    </row>
    <row r="1008" spans="12:16" x14ac:dyDescent="0.25">
      <c r="L1008" s="75"/>
      <c r="M1008" s="75"/>
      <c r="N1008" s="75"/>
      <c r="O1008" s="75"/>
      <c r="P1008" s="75"/>
    </row>
    <row r="1009" spans="12:16" x14ac:dyDescent="0.25">
      <c r="L1009" s="75"/>
      <c r="M1009" s="75"/>
      <c r="N1009" s="75"/>
      <c r="O1009" s="75"/>
      <c r="P1009" s="75"/>
    </row>
    <row r="1010" spans="12:16" x14ac:dyDescent="0.25">
      <c r="L1010" s="75"/>
      <c r="M1010" s="75"/>
      <c r="N1010" s="75"/>
      <c r="O1010" s="75"/>
      <c r="P1010" s="75"/>
    </row>
    <row r="1011" spans="12:16" x14ac:dyDescent="0.25">
      <c r="L1011" s="75"/>
      <c r="M1011" s="75"/>
      <c r="N1011" s="75"/>
      <c r="O1011" s="75"/>
      <c r="P1011" s="75"/>
    </row>
    <row r="1012" spans="12:16" x14ac:dyDescent="0.25">
      <c r="L1012" s="75"/>
      <c r="M1012" s="75"/>
      <c r="N1012" s="75"/>
      <c r="O1012" s="75"/>
      <c r="P1012" s="75"/>
    </row>
    <row r="1013" spans="12:16" x14ac:dyDescent="0.25">
      <c r="L1013" s="75"/>
      <c r="M1013" s="75"/>
      <c r="N1013" s="75"/>
      <c r="O1013" s="75"/>
      <c r="P1013" s="75"/>
    </row>
    <row r="1014" spans="12:16" x14ac:dyDescent="0.25">
      <c r="L1014" s="75"/>
      <c r="M1014" s="75"/>
      <c r="N1014" s="75"/>
      <c r="O1014" s="75"/>
      <c r="P1014" s="75"/>
    </row>
    <row r="1015" spans="12:16" x14ac:dyDescent="0.25">
      <c r="L1015" s="75"/>
      <c r="M1015" s="75"/>
      <c r="N1015" s="75"/>
      <c r="O1015" s="75"/>
      <c r="P1015" s="75"/>
    </row>
    <row r="1016" spans="12:16" x14ac:dyDescent="0.25">
      <c r="L1016" s="75"/>
      <c r="M1016" s="75"/>
      <c r="N1016" s="75"/>
      <c r="O1016" s="75"/>
      <c r="P1016" s="75"/>
    </row>
    <row r="1017" spans="12:16" x14ac:dyDescent="0.25">
      <c r="L1017" s="75"/>
      <c r="M1017" s="75"/>
      <c r="N1017" s="75"/>
      <c r="O1017" s="75"/>
      <c r="P1017" s="75"/>
    </row>
    <row r="1018" spans="12:16" x14ac:dyDescent="0.25">
      <c r="L1018" s="75"/>
      <c r="M1018" s="75"/>
      <c r="N1018" s="75"/>
      <c r="O1018" s="75"/>
      <c r="P1018" s="75"/>
    </row>
    <row r="1019" spans="12:16" x14ac:dyDescent="0.25">
      <c r="L1019" s="75"/>
      <c r="M1019" s="75"/>
      <c r="N1019" s="75"/>
      <c r="O1019" s="75"/>
      <c r="P1019" s="75"/>
    </row>
    <row r="1020" spans="12:16" x14ac:dyDescent="0.25">
      <c r="L1020" s="75"/>
      <c r="M1020" s="75"/>
      <c r="N1020" s="75"/>
      <c r="O1020" s="75"/>
      <c r="P1020" s="75"/>
    </row>
    <row r="1021" spans="12:16" x14ac:dyDescent="0.25">
      <c r="L1021" s="75"/>
      <c r="M1021" s="75"/>
      <c r="N1021" s="75"/>
      <c r="O1021" s="75"/>
      <c r="P1021" s="75"/>
    </row>
    <row r="1022" spans="12:16" x14ac:dyDescent="0.25">
      <c r="L1022" s="75"/>
      <c r="M1022" s="75"/>
      <c r="N1022" s="75"/>
      <c r="O1022" s="75"/>
      <c r="P1022" s="75"/>
    </row>
    <row r="1023" spans="12:16" x14ac:dyDescent="0.25">
      <c r="L1023" s="75"/>
      <c r="M1023" s="75"/>
      <c r="N1023" s="75"/>
      <c r="O1023" s="75"/>
      <c r="P1023" s="75"/>
    </row>
    <row r="1024" spans="12:16" x14ac:dyDescent="0.25">
      <c r="L1024" s="75"/>
      <c r="M1024" s="75"/>
      <c r="N1024" s="75"/>
      <c r="O1024" s="75"/>
      <c r="P1024" s="75"/>
    </row>
    <row r="1025" spans="12:16" x14ac:dyDescent="0.25">
      <c r="L1025" s="75"/>
      <c r="M1025" s="75"/>
      <c r="N1025" s="75"/>
      <c r="O1025" s="75"/>
      <c r="P1025" s="75"/>
    </row>
    <row r="1026" spans="12:16" x14ac:dyDescent="0.25">
      <c r="L1026" s="75"/>
      <c r="M1026" s="75"/>
      <c r="N1026" s="75"/>
      <c r="O1026" s="75"/>
      <c r="P1026" s="75"/>
    </row>
    <row r="1027" spans="12:16" x14ac:dyDescent="0.25">
      <c r="L1027" s="75"/>
      <c r="M1027" s="75"/>
      <c r="N1027" s="75"/>
      <c r="O1027" s="75"/>
      <c r="P1027" s="75"/>
    </row>
    <row r="1028" spans="12:16" x14ac:dyDescent="0.25">
      <c r="L1028" s="75"/>
      <c r="M1028" s="75"/>
      <c r="N1028" s="75"/>
      <c r="O1028" s="75"/>
      <c r="P1028" s="75"/>
    </row>
    <row r="1029" spans="12:16" x14ac:dyDescent="0.25">
      <c r="L1029" s="75"/>
      <c r="M1029" s="75"/>
      <c r="N1029" s="75"/>
      <c r="O1029" s="75"/>
      <c r="P1029" s="75"/>
    </row>
    <row r="1030" spans="12:16" x14ac:dyDescent="0.25">
      <c r="L1030" s="75"/>
      <c r="M1030" s="75"/>
      <c r="N1030" s="75"/>
      <c r="O1030" s="75"/>
      <c r="P1030" s="75"/>
    </row>
    <row r="1031" spans="12:16" x14ac:dyDescent="0.25">
      <c r="L1031" s="75"/>
      <c r="M1031" s="75"/>
      <c r="N1031" s="75"/>
      <c r="O1031" s="75"/>
      <c r="P1031" s="75"/>
    </row>
    <row r="1032" spans="12:16" x14ac:dyDescent="0.25">
      <c r="L1032" s="75"/>
      <c r="M1032" s="75"/>
      <c r="N1032" s="75"/>
      <c r="O1032" s="75"/>
      <c r="P1032" s="75"/>
    </row>
    <row r="1033" spans="12:16" x14ac:dyDescent="0.25">
      <c r="L1033" s="75"/>
      <c r="M1033" s="75"/>
      <c r="N1033" s="75"/>
      <c r="O1033" s="75"/>
      <c r="P1033" s="75"/>
    </row>
    <row r="1034" spans="12:16" x14ac:dyDescent="0.25">
      <c r="L1034" s="75"/>
      <c r="M1034" s="75"/>
      <c r="N1034" s="75"/>
      <c r="O1034" s="75"/>
      <c r="P1034" s="75"/>
    </row>
    <row r="1035" spans="12:16" x14ac:dyDescent="0.25">
      <c r="L1035" s="75"/>
      <c r="M1035" s="75"/>
      <c r="N1035" s="75"/>
      <c r="O1035" s="75"/>
      <c r="P1035" s="75"/>
    </row>
    <row r="1036" spans="12:16" x14ac:dyDescent="0.25">
      <c r="L1036" s="75"/>
      <c r="M1036" s="75"/>
      <c r="N1036" s="75"/>
      <c r="O1036" s="75"/>
      <c r="P1036" s="75"/>
    </row>
    <row r="1037" spans="12:16" x14ac:dyDescent="0.25">
      <c r="L1037" s="75"/>
      <c r="M1037" s="75"/>
      <c r="N1037" s="75"/>
      <c r="O1037" s="75"/>
      <c r="P1037" s="75"/>
    </row>
    <row r="1038" spans="12:16" x14ac:dyDescent="0.25">
      <c r="L1038" s="75"/>
      <c r="M1038" s="75"/>
      <c r="N1038" s="75"/>
      <c r="O1038" s="75"/>
      <c r="P1038" s="75"/>
    </row>
    <row r="1039" spans="12:16" x14ac:dyDescent="0.25">
      <c r="L1039" s="75"/>
      <c r="M1039" s="75"/>
      <c r="N1039" s="75"/>
      <c r="O1039" s="75"/>
      <c r="P1039" s="75"/>
    </row>
    <row r="1040" spans="12:16" x14ac:dyDescent="0.25">
      <c r="L1040" s="75"/>
      <c r="M1040" s="75"/>
      <c r="N1040" s="75"/>
      <c r="O1040" s="75"/>
      <c r="P1040" s="75"/>
    </row>
    <row r="1041" spans="12:16" x14ac:dyDescent="0.25">
      <c r="L1041" s="75"/>
      <c r="M1041" s="75"/>
      <c r="N1041" s="75"/>
      <c r="O1041" s="75"/>
      <c r="P1041" s="75"/>
    </row>
    <row r="1042" spans="12:16" x14ac:dyDescent="0.25">
      <c r="L1042" s="75"/>
      <c r="M1042" s="75"/>
      <c r="N1042" s="75"/>
      <c r="O1042" s="75"/>
      <c r="P1042" s="75"/>
    </row>
    <row r="1043" spans="12:16" x14ac:dyDescent="0.25">
      <c r="L1043" s="75"/>
      <c r="M1043" s="75"/>
      <c r="N1043" s="75"/>
      <c r="O1043" s="75"/>
      <c r="P1043" s="75"/>
    </row>
    <row r="1044" spans="12:16" x14ac:dyDescent="0.25">
      <c r="L1044" s="75"/>
      <c r="M1044" s="75"/>
      <c r="N1044" s="75"/>
      <c r="O1044" s="75"/>
      <c r="P1044" s="75"/>
    </row>
    <row r="1045" spans="12:16" x14ac:dyDescent="0.25">
      <c r="L1045" s="75"/>
      <c r="M1045" s="75"/>
      <c r="N1045" s="75"/>
      <c r="O1045" s="75"/>
      <c r="P1045" s="75"/>
    </row>
    <row r="1046" spans="12:16" x14ac:dyDescent="0.25">
      <c r="L1046" s="75"/>
      <c r="M1046" s="75"/>
      <c r="N1046" s="75"/>
      <c r="O1046" s="75"/>
      <c r="P1046" s="75"/>
    </row>
    <row r="1047" spans="12:16" x14ac:dyDescent="0.25">
      <c r="L1047" s="75"/>
      <c r="M1047" s="75"/>
      <c r="N1047" s="75"/>
      <c r="O1047" s="75"/>
      <c r="P1047" s="75"/>
    </row>
    <row r="1048" spans="12:16" x14ac:dyDescent="0.25">
      <c r="L1048" s="75"/>
      <c r="M1048" s="75"/>
      <c r="N1048" s="75"/>
      <c r="O1048" s="75"/>
      <c r="P1048" s="75"/>
    </row>
    <row r="1049" spans="12:16" x14ac:dyDescent="0.25">
      <c r="L1049" s="75"/>
      <c r="M1049" s="75"/>
      <c r="N1049" s="75"/>
      <c r="O1049" s="75"/>
      <c r="P1049" s="75"/>
    </row>
    <row r="1050" spans="12:16" x14ac:dyDescent="0.25">
      <c r="L1050" s="75"/>
      <c r="M1050" s="75"/>
      <c r="N1050" s="75"/>
      <c r="O1050" s="75"/>
      <c r="P1050" s="75"/>
    </row>
    <row r="1051" spans="12:16" x14ac:dyDescent="0.25">
      <c r="L1051" s="75"/>
      <c r="M1051" s="75"/>
      <c r="N1051" s="75"/>
      <c r="O1051" s="75"/>
      <c r="P1051" s="75"/>
    </row>
    <row r="1052" spans="12:16" x14ac:dyDescent="0.25">
      <c r="L1052" s="75"/>
      <c r="M1052" s="75"/>
      <c r="N1052" s="75"/>
      <c r="O1052" s="75"/>
      <c r="P1052" s="75"/>
    </row>
    <row r="1053" spans="12:16" x14ac:dyDescent="0.25">
      <c r="L1053" s="75"/>
      <c r="M1053" s="75"/>
      <c r="N1053" s="75"/>
      <c r="O1053" s="75"/>
      <c r="P1053" s="75"/>
    </row>
    <row r="1054" spans="12:16" x14ac:dyDescent="0.25">
      <c r="L1054" s="75"/>
      <c r="M1054" s="75"/>
      <c r="N1054" s="75"/>
      <c r="O1054" s="75"/>
      <c r="P1054" s="75"/>
    </row>
    <row r="1055" spans="12:16" x14ac:dyDescent="0.25">
      <c r="L1055" s="75"/>
      <c r="M1055" s="75"/>
      <c r="N1055" s="75"/>
      <c r="O1055" s="75"/>
      <c r="P1055" s="75"/>
    </row>
    <row r="1056" spans="12:16" x14ac:dyDescent="0.25">
      <c r="L1056" s="75"/>
      <c r="M1056" s="75"/>
      <c r="N1056" s="75"/>
      <c r="O1056" s="75"/>
      <c r="P1056" s="75"/>
    </row>
    <row r="1057" spans="12:16" x14ac:dyDescent="0.25">
      <c r="L1057" s="75"/>
      <c r="M1057" s="75"/>
      <c r="N1057" s="75"/>
      <c r="O1057" s="75"/>
      <c r="P1057" s="75"/>
    </row>
    <row r="1058" spans="12:16" x14ac:dyDescent="0.25">
      <c r="L1058" s="75"/>
      <c r="M1058" s="75"/>
      <c r="N1058" s="75"/>
      <c r="O1058" s="75"/>
      <c r="P1058" s="75"/>
    </row>
    <row r="1059" spans="12:16" x14ac:dyDescent="0.25">
      <c r="L1059" s="75"/>
      <c r="M1059" s="75"/>
      <c r="N1059" s="75"/>
      <c r="O1059" s="75"/>
      <c r="P1059" s="75"/>
    </row>
    <row r="1060" spans="12:16" x14ac:dyDescent="0.25">
      <c r="L1060" s="75"/>
      <c r="M1060" s="75"/>
      <c r="N1060" s="75"/>
      <c r="O1060" s="75"/>
      <c r="P1060" s="75"/>
    </row>
    <row r="1061" spans="12:16" x14ac:dyDescent="0.25">
      <c r="L1061" s="75"/>
      <c r="M1061" s="75"/>
      <c r="N1061" s="75"/>
      <c r="O1061" s="75"/>
      <c r="P1061" s="75"/>
    </row>
    <row r="1062" spans="12:16" x14ac:dyDescent="0.25">
      <c r="L1062" s="75"/>
      <c r="M1062" s="75"/>
      <c r="N1062" s="75"/>
      <c r="O1062" s="75"/>
      <c r="P1062" s="75"/>
    </row>
    <row r="1063" spans="12:16" x14ac:dyDescent="0.25">
      <c r="L1063" s="75"/>
      <c r="M1063" s="75"/>
      <c r="N1063" s="75"/>
      <c r="O1063" s="75"/>
      <c r="P1063" s="75"/>
    </row>
    <row r="1064" spans="12:16" x14ac:dyDescent="0.25">
      <c r="L1064" s="75"/>
      <c r="M1064" s="75"/>
      <c r="N1064" s="75"/>
      <c r="O1064" s="75"/>
      <c r="P1064" s="75"/>
    </row>
    <row r="1065" spans="12:16" x14ac:dyDescent="0.25">
      <c r="L1065" s="75"/>
      <c r="M1065" s="75"/>
      <c r="N1065" s="75"/>
      <c r="O1065" s="75"/>
      <c r="P1065" s="75"/>
    </row>
    <row r="1066" spans="12:16" x14ac:dyDescent="0.25">
      <c r="L1066" s="75"/>
      <c r="M1066" s="75"/>
      <c r="N1066" s="75"/>
      <c r="O1066" s="75"/>
      <c r="P1066" s="75"/>
    </row>
    <row r="1067" spans="12:16" x14ac:dyDescent="0.25">
      <c r="L1067" s="75"/>
      <c r="M1067" s="75"/>
      <c r="N1067" s="75"/>
      <c r="O1067" s="75"/>
      <c r="P1067" s="75"/>
    </row>
    <row r="1068" spans="12:16" x14ac:dyDescent="0.25">
      <c r="L1068" s="75"/>
      <c r="M1068" s="75"/>
      <c r="N1068" s="75"/>
      <c r="O1068" s="75"/>
      <c r="P1068" s="75"/>
    </row>
    <row r="1069" spans="12:16" x14ac:dyDescent="0.25">
      <c r="L1069" s="75"/>
      <c r="M1069" s="75"/>
      <c r="N1069" s="75"/>
      <c r="O1069" s="75"/>
      <c r="P1069" s="75"/>
    </row>
    <row r="1070" spans="12:16" x14ac:dyDescent="0.25">
      <c r="L1070" s="75"/>
      <c r="M1070" s="75"/>
      <c r="N1070" s="75"/>
      <c r="O1070" s="75"/>
      <c r="P1070" s="75"/>
    </row>
    <row r="1071" spans="12:16" x14ac:dyDescent="0.25">
      <c r="L1071" s="75"/>
      <c r="M1071" s="75"/>
      <c r="N1071" s="75"/>
      <c r="O1071" s="75"/>
      <c r="P1071" s="75"/>
    </row>
    <row r="1072" spans="12:16" x14ac:dyDescent="0.25">
      <c r="L1072" s="75"/>
      <c r="M1072" s="75"/>
      <c r="N1072" s="75"/>
      <c r="O1072" s="75"/>
      <c r="P1072" s="75"/>
    </row>
    <row r="1073" spans="12:16" x14ac:dyDescent="0.25">
      <c r="L1073" s="75"/>
      <c r="M1073" s="75"/>
      <c r="N1073" s="75"/>
      <c r="O1073" s="75"/>
      <c r="P1073" s="75"/>
    </row>
    <row r="1074" spans="12:16" x14ac:dyDescent="0.25">
      <c r="L1074" s="75"/>
      <c r="M1074" s="75"/>
      <c r="N1074" s="75"/>
      <c r="O1074" s="75"/>
      <c r="P1074" s="75"/>
    </row>
    <row r="1075" spans="12:16" x14ac:dyDescent="0.25">
      <c r="L1075" s="75"/>
      <c r="M1075" s="75"/>
      <c r="N1075" s="75"/>
      <c r="O1075" s="75"/>
      <c r="P1075" s="75"/>
    </row>
    <row r="1076" spans="12:16" x14ac:dyDescent="0.25">
      <c r="L1076" s="75"/>
      <c r="M1076" s="75"/>
      <c r="N1076" s="75"/>
      <c r="O1076" s="75"/>
      <c r="P1076" s="75"/>
    </row>
    <row r="1077" spans="12:16" x14ac:dyDescent="0.25">
      <c r="L1077" s="75"/>
      <c r="M1077" s="75"/>
      <c r="N1077" s="75"/>
      <c r="O1077" s="75"/>
      <c r="P1077" s="75"/>
    </row>
    <row r="1078" spans="12:16" x14ac:dyDescent="0.25">
      <c r="L1078" s="75"/>
      <c r="M1078" s="75"/>
      <c r="N1078" s="75"/>
      <c r="O1078" s="75"/>
      <c r="P1078" s="75"/>
    </row>
    <row r="1079" spans="12:16" x14ac:dyDescent="0.25">
      <c r="L1079" s="75"/>
      <c r="M1079" s="75"/>
      <c r="N1079" s="75"/>
      <c r="O1079" s="75"/>
      <c r="P1079" s="75"/>
    </row>
    <row r="1080" spans="12:16" x14ac:dyDescent="0.25">
      <c r="L1080" s="75"/>
      <c r="M1080" s="75"/>
      <c r="N1080" s="75"/>
      <c r="O1080" s="75"/>
      <c r="P1080" s="75"/>
    </row>
    <row r="1081" spans="12:16" x14ac:dyDescent="0.25">
      <c r="L1081" s="75"/>
      <c r="M1081" s="75"/>
      <c r="N1081" s="75"/>
      <c r="O1081" s="75"/>
      <c r="P1081" s="75"/>
    </row>
    <row r="1082" spans="12:16" x14ac:dyDescent="0.25">
      <c r="L1082" s="75"/>
      <c r="M1082" s="75"/>
      <c r="N1082" s="75"/>
      <c r="O1082" s="75"/>
      <c r="P1082" s="75"/>
    </row>
    <row r="1083" spans="12:16" x14ac:dyDescent="0.25">
      <c r="L1083" s="75"/>
      <c r="M1083" s="75"/>
      <c r="N1083" s="75"/>
      <c r="O1083" s="75"/>
      <c r="P1083" s="75"/>
    </row>
    <row r="1084" spans="12:16" x14ac:dyDescent="0.25">
      <c r="L1084" s="75"/>
      <c r="M1084" s="75"/>
      <c r="N1084" s="75"/>
      <c r="O1084" s="75"/>
      <c r="P1084" s="75"/>
    </row>
    <row r="1085" spans="12:16" x14ac:dyDescent="0.25">
      <c r="L1085" s="75"/>
      <c r="M1085" s="75"/>
      <c r="N1085" s="75"/>
      <c r="O1085" s="75"/>
      <c r="P1085" s="75"/>
    </row>
    <row r="1086" spans="12:16" x14ac:dyDescent="0.25">
      <c r="L1086" s="75"/>
      <c r="M1086" s="75"/>
      <c r="N1086" s="75"/>
      <c r="O1086" s="75"/>
      <c r="P1086" s="75"/>
    </row>
    <row r="1087" spans="12:16" x14ac:dyDescent="0.25">
      <c r="L1087" s="75"/>
      <c r="M1087" s="75"/>
      <c r="N1087" s="75"/>
      <c r="O1087" s="75"/>
      <c r="P1087" s="75"/>
    </row>
    <row r="1088" spans="12:16" x14ac:dyDescent="0.25">
      <c r="L1088" s="75"/>
      <c r="M1088" s="75"/>
      <c r="N1088" s="75"/>
      <c r="O1088" s="75"/>
      <c r="P1088" s="75"/>
    </row>
    <row r="1089" spans="12:16" x14ac:dyDescent="0.25">
      <c r="L1089" s="75"/>
      <c r="M1089" s="75"/>
      <c r="N1089" s="75"/>
      <c r="O1089" s="75"/>
      <c r="P1089" s="75"/>
    </row>
    <row r="1090" spans="12:16" x14ac:dyDescent="0.25">
      <c r="L1090" s="75"/>
      <c r="M1090" s="75"/>
      <c r="N1090" s="75"/>
      <c r="O1090" s="75"/>
      <c r="P1090" s="75"/>
    </row>
    <row r="1091" spans="12:16" x14ac:dyDescent="0.25">
      <c r="L1091" s="75"/>
      <c r="M1091" s="75"/>
      <c r="N1091" s="75"/>
      <c r="O1091" s="75"/>
      <c r="P1091" s="75"/>
    </row>
    <row r="1092" spans="12:16" x14ac:dyDescent="0.25">
      <c r="L1092" s="75"/>
      <c r="M1092" s="75"/>
      <c r="N1092" s="75"/>
      <c r="O1092" s="75"/>
      <c r="P1092" s="75"/>
    </row>
    <row r="1093" spans="12:16" x14ac:dyDescent="0.25">
      <c r="L1093" s="75"/>
      <c r="M1093" s="75"/>
      <c r="N1093" s="75"/>
      <c r="O1093" s="75"/>
      <c r="P1093" s="75"/>
    </row>
    <row r="1094" spans="12:16" x14ac:dyDescent="0.25">
      <c r="L1094" s="75"/>
      <c r="M1094" s="75"/>
      <c r="N1094" s="75"/>
      <c r="O1094" s="75"/>
      <c r="P1094" s="75"/>
    </row>
    <row r="1095" spans="12:16" x14ac:dyDescent="0.25">
      <c r="L1095" s="75"/>
      <c r="M1095" s="75"/>
      <c r="N1095" s="75"/>
      <c r="O1095" s="75"/>
      <c r="P1095" s="75"/>
    </row>
    <row r="1096" spans="12:16" x14ac:dyDescent="0.25">
      <c r="L1096" s="75"/>
      <c r="M1096" s="75"/>
      <c r="N1096" s="75"/>
      <c r="O1096" s="75"/>
      <c r="P1096" s="75"/>
    </row>
    <row r="1097" spans="12:16" x14ac:dyDescent="0.25">
      <c r="L1097" s="75"/>
      <c r="M1097" s="75"/>
      <c r="N1097" s="75"/>
      <c r="O1097" s="75"/>
      <c r="P1097" s="75"/>
    </row>
    <row r="1098" spans="12:16" x14ac:dyDescent="0.25">
      <c r="L1098" s="75"/>
      <c r="M1098" s="75"/>
      <c r="N1098" s="75"/>
      <c r="O1098" s="75"/>
      <c r="P1098" s="75"/>
    </row>
    <row r="1099" spans="12:16" x14ac:dyDescent="0.25">
      <c r="L1099" s="75"/>
      <c r="M1099" s="75"/>
      <c r="N1099" s="75"/>
      <c r="O1099" s="75"/>
      <c r="P1099" s="75"/>
    </row>
    <row r="1100" spans="12:16" x14ac:dyDescent="0.25">
      <c r="L1100" s="75"/>
      <c r="M1100" s="75"/>
      <c r="N1100" s="75"/>
      <c r="O1100" s="75"/>
      <c r="P1100" s="75"/>
    </row>
    <row r="1101" spans="12:16" x14ac:dyDescent="0.25">
      <c r="L1101" s="75"/>
      <c r="M1101" s="75"/>
      <c r="N1101" s="75"/>
      <c r="O1101" s="75"/>
      <c r="P1101" s="75"/>
    </row>
    <row r="1102" spans="12:16" x14ac:dyDescent="0.25">
      <c r="L1102" s="75"/>
      <c r="M1102" s="75"/>
      <c r="N1102" s="75"/>
      <c r="O1102" s="75"/>
      <c r="P1102" s="75"/>
    </row>
    <row r="1103" spans="12:16" x14ac:dyDescent="0.25">
      <c r="L1103" s="75"/>
      <c r="M1103" s="75"/>
      <c r="N1103" s="75"/>
      <c r="O1103" s="75"/>
      <c r="P1103" s="75"/>
    </row>
    <row r="1104" spans="12:16" x14ac:dyDescent="0.25">
      <c r="L1104" s="75"/>
      <c r="M1104" s="75"/>
      <c r="N1104" s="75"/>
      <c r="O1104" s="75"/>
      <c r="P1104" s="75"/>
    </row>
    <row r="1105" spans="12:16" x14ac:dyDescent="0.25">
      <c r="L1105" s="75"/>
      <c r="M1105" s="75"/>
      <c r="N1105" s="75"/>
      <c r="O1105" s="75"/>
      <c r="P1105" s="75"/>
    </row>
    <row r="1106" spans="12:16" x14ac:dyDescent="0.25">
      <c r="L1106" s="75"/>
      <c r="M1106" s="75"/>
      <c r="N1106" s="75"/>
      <c r="O1106" s="75"/>
      <c r="P1106" s="75"/>
    </row>
    <row r="1107" spans="12:16" x14ac:dyDescent="0.25">
      <c r="L1107" s="75"/>
      <c r="M1107" s="75"/>
      <c r="N1107" s="75"/>
      <c r="O1107" s="75"/>
      <c r="P1107" s="75"/>
    </row>
    <row r="1108" spans="12:16" x14ac:dyDescent="0.25">
      <c r="L1108" s="75"/>
      <c r="M1108" s="75"/>
      <c r="N1108" s="75"/>
      <c r="O1108" s="75"/>
      <c r="P1108" s="75"/>
    </row>
    <row r="1109" spans="12:16" x14ac:dyDescent="0.25">
      <c r="L1109" s="75"/>
      <c r="M1109" s="75"/>
      <c r="N1109" s="75"/>
      <c r="O1109" s="75"/>
      <c r="P1109" s="75"/>
    </row>
    <row r="1110" spans="12:16" x14ac:dyDescent="0.25">
      <c r="L1110" s="75"/>
      <c r="M1110" s="75"/>
      <c r="N1110" s="75"/>
      <c r="O1110" s="75"/>
      <c r="P1110" s="75"/>
    </row>
    <row r="1111" spans="12:16" x14ac:dyDescent="0.25">
      <c r="L1111" s="75"/>
      <c r="M1111" s="75"/>
      <c r="N1111" s="75"/>
      <c r="O1111" s="75"/>
      <c r="P1111" s="75"/>
    </row>
    <row r="1112" spans="12:16" x14ac:dyDescent="0.25">
      <c r="L1112" s="75"/>
      <c r="M1112" s="75"/>
      <c r="N1112" s="75"/>
      <c r="O1112" s="75"/>
      <c r="P1112" s="75"/>
    </row>
    <row r="1113" spans="12:16" x14ac:dyDescent="0.25">
      <c r="L1113" s="75"/>
      <c r="M1113" s="75"/>
      <c r="N1113" s="75"/>
      <c r="O1113" s="75"/>
      <c r="P1113" s="75"/>
    </row>
    <row r="1114" spans="12:16" x14ac:dyDescent="0.25">
      <c r="L1114" s="75"/>
      <c r="M1114" s="75"/>
      <c r="N1114" s="75"/>
      <c r="O1114" s="75"/>
      <c r="P1114" s="75"/>
    </row>
    <row r="1115" spans="12:16" x14ac:dyDescent="0.25">
      <c r="L1115" s="75"/>
      <c r="M1115" s="75"/>
      <c r="N1115" s="75"/>
      <c r="O1115" s="75"/>
      <c r="P1115" s="75"/>
    </row>
    <row r="1116" spans="12:16" x14ac:dyDescent="0.25">
      <c r="L1116" s="75"/>
      <c r="M1116" s="75"/>
      <c r="N1116" s="75"/>
      <c r="O1116" s="75"/>
      <c r="P1116" s="75"/>
    </row>
    <row r="1117" spans="12:16" x14ac:dyDescent="0.25">
      <c r="L1117" s="75"/>
      <c r="M1117" s="75"/>
      <c r="N1117" s="75"/>
      <c r="O1117" s="75"/>
      <c r="P1117" s="75"/>
    </row>
    <row r="1118" spans="12:16" x14ac:dyDescent="0.25">
      <c r="L1118" s="75"/>
      <c r="M1118" s="75"/>
      <c r="N1118" s="75"/>
      <c r="O1118" s="75"/>
      <c r="P1118" s="75"/>
    </row>
    <row r="1119" spans="12:16" x14ac:dyDescent="0.25">
      <c r="L1119" s="75"/>
      <c r="M1119" s="75"/>
      <c r="N1119" s="75"/>
      <c r="O1119" s="75"/>
      <c r="P1119" s="75"/>
    </row>
    <row r="1120" spans="12:16" x14ac:dyDescent="0.25">
      <c r="L1120" s="75"/>
      <c r="M1120" s="75"/>
      <c r="N1120" s="75"/>
      <c r="O1120" s="75"/>
      <c r="P1120" s="75"/>
    </row>
    <row r="1121" spans="12:16" x14ac:dyDescent="0.25">
      <c r="L1121" s="75"/>
      <c r="M1121" s="75"/>
      <c r="N1121" s="75"/>
      <c r="O1121" s="75"/>
      <c r="P1121" s="75"/>
    </row>
    <row r="1122" spans="12:16" x14ac:dyDescent="0.25">
      <c r="L1122" s="75"/>
      <c r="M1122" s="75"/>
      <c r="N1122" s="75"/>
      <c r="O1122" s="75"/>
      <c r="P1122" s="75"/>
    </row>
    <row r="1123" spans="12:16" x14ac:dyDescent="0.25">
      <c r="L1123" s="75"/>
      <c r="M1123" s="75"/>
      <c r="N1123" s="75"/>
      <c r="O1123" s="75"/>
      <c r="P1123" s="75"/>
    </row>
    <row r="1124" spans="12:16" x14ac:dyDescent="0.25">
      <c r="L1124" s="75"/>
      <c r="M1124" s="75"/>
      <c r="N1124" s="75"/>
      <c r="O1124" s="75"/>
      <c r="P1124" s="75"/>
    </row>
    <row r="1125" spans="12:16" x14ac:dyDescent="0.25">
      <c r="L1125" s="75"/>
      <c r="M1125" s="75"/>
      <c r="N1125" s="75"/>
      <c r="O1125" s="75"/>
      <c r="P1125" s="75"/>
    </row>
    <row r="1126" spans="12:16" x14ac:dyDescent="0.25">
      <c r="L1126" s="75"/>
      <c r="M1126" s="75"/>
      <c r="N1126" s="75"/>
      <c r="O1126" s="75"/>
      <c r="P1126" s="75"/>
    </row>
    <row r="1127" spans="12:16" x14ac:dyDescent="0.25">
      <c r="L1127" s="75"/>
      <c r="M1127" s="75"/>
      <c r="N1127" s="75"/>
      <c r="O1127" s="75"/>
      <c r="P1127" s="75"/>
    </row>
    <row r="1128" spans="12:16" x14ac:dyDescent="0.25">
      <c r="L1128" s="75"/>
      <c r="M1128" s="75"/>
      <c r="N1128" s="75"/>
      <c r="O1128" s="75"/>
      <c r="P1128" s="75"/>
    </row>
    <row r="1129" spans="12:16" x14ac:dyDescent="0.25">
      <c r="L1129" s="75"/>
      <c r="M1129" s="75"/>
      <c r="N1129" s="75"/>
      <c r="O1129" s="75"/>
      <c r="P1129" s="75"/>
    </row>
    <row r="1130" spans="12:16" x14ac:dyDescent="0.25">
      <c r="L1130" s="75"/>
      <c r="M1130" s="75"/>
      <c r="N1130" s="75"/>
      <c r="O1130" s="75"/>
      <c r="P1130" s="75"/>
    </row>
    <row r="1131" spans="12:16" x14ac:dyDescent="0.25">
      <c r="L1131" s="75"/>
      <c r="M1131" s="75"/>
      <c r="N1131" s="75"/>
      <c r="O1131" s="75"/>
      <c r="P1131" s="75"/>
    </row>
    <row r="1132" spans="12:16" x14ac:dyDescent="0.25">
      <c r="L1132" s="75"/>
      <c r="M1132" s="75"/>
      <c r="N1132" s="75"/>
      <c r="O1132" s="75"/>
      <c r="P1132" s="75"/>
    </row>
    <row r="1133" spans="12:16" x14ac:dyDescent="0.25">
      <c r="L1133" s="75"/>
      <c r="M1133" s="75"/>
      <c r="N1133" s="75"/>
      <c r="O1133" s="75"/>
      <c r="P1133" s="75"/>
    </row>
    <row r="1134" spans="12:16" x14ac:dyDescent="0.25">
      <c r="L1134" s="75"/>
      <c r="M1134" s="75"/>
      <c r="N1134" s="75"/>
      <c r="O1134" s="75"/>
      <c r="P1134" s="75"/>
    </row>
    <row r="1135" spans="12:16" x14ac:dyDescent="0.25">
      <c r="L1135" s="75"/>
      <c r="M1135" s="75"/>
      <c r="N1135" s="75"/>
      <c r="O1135" s="75"/>
      <c r="P1135" s="75"/>
    </row>
    <row r="1136" spans="12:16" x14ac:dyDescent="0.25">
      <c r="L1136" s="75"/>
      <c r="M1136" s="75"/>
      <c r="N1136" s="75"/>
      <c r="O1136" s="75"/>
      <c r="P1136" s="75"/>
    </row>
    <row r="1137" spans="12:16" x14ac:dyDescent="0.25">
      <c r="L1137" s="75"/>
      <c r="M1137" s="75"/>
      <c r="N1137" s="75"/>
      <c r="O1137" s="75"/>
      <c r="P1137" s="75"/>
    </row>
    <row r="1138" spans="12:16" x14ac:dyDescent="0.25">
      <c r="L1138" s="75"/>
      <c r="M1138" s="75"/>
      <c r="N1138" s="75"/>
      <c r="O1138" s="75"/>
      <c r="P1138" s="75"/>
    </row>
    <row r="1139" spans="12:16" x14ac:dyDescent="0.25">
      <c r="L1139" s="75"/>
      <c r="M1139" s="75"/>
      <c r="N1139" s="75"/>
      <c r="O1139" s="75"/>
      <c r="P1139" s="75"/>
    </row>
    <row r="1140" spans="12:16" x14ac:dyDescent="0.25">
      <c r="L1140" s="75"/>
      <c r="M1140" s="75"/>
      <c r="N1140" s="75"/>
      <c r="O1140" s="75"/>
      <c r="P1140" s="75"/>
    </row>
    <row r="1141" spans="12:16" x14ac:dyDescent="0.25">
      <c r="L1141" s="75"/>
      <c r="M1141" s="75"/>
      <c r="N1141" s="75"/>
      <c r="O1141" s="75"/>
      <c r="P1141" s="75"/>
    </row>
    <row r="1142" spans="12:16" x14ac:dyDescent="0.25">
      <c r="L1142" s="75"/>
      <c r="M1142" s="75"/>
      <c r="N1142" s="75"/>
      <c r="O1142" s="75"/>
      <c r="P1142" s="75"/>
    </row>
    <row r="1143" spans="12:16" x14ac:dyDescent="0.25">
      <c r="L1143" s="75"/>
      <c r="M1143" s="75"/>
      <c r="N1143" s="75"/>
      <c r="O1143" s="75"/>
      <c r="P1143" s="75"/>
    </row>
    <row r="1144" spans="12:16" x14ac:dyDescent="0.25">
      <c r="L1144" s="75"/>
      <c r="M1144" s="75"/>
      <c r="N1144" s="75"/>
      <c r="O1144" s="75"/>
      <c r="P1144" s="75"/>
    </row>
    <row r="1145" spans="12:16" x14ac:dyDescent="0.25">
      <c r="L1145" s="75"/>
      <c r="M1145" s="75"/>
      <c r="N1145" s="75"/>
      <c r="O1145" s="75"/>
      <c r="P1145" s="75"/>
    </row>
    <row r="1146" spans="12:16" x14ac:dyDescent="0.25">
      <c r="L1146" s="75"/>
      <c r="M1146" s="75"/>
      <c r="N1146" s="75"/>
      <c r="O1146" s="75"/>
      <c r="P1146" s="75"/>
    </row>
    <row r="1147" spans="12:16" x14ac:dyDescent="0.25">
      <c r="L1147" s="75"/>
      <c r="M1147" s="75"/>
      <c r="N1147" s="75"/>
      <c r="O1147" s="75"/>
      <c r="P1147" s="75"/>
    </row>
    <row r="1148" spans="12:16" x14ac:dyDescent="0.25">
      <c r="L1148" s="75"/>
      <c r="M1148" s="75"/>
      <c r="N1148" s="75"/>
      <c r="O1148" s="75"/>
      <c r="P1148" s="75"/>
    </row>
    <row r="1149" spans="12:16" x14ac:dyDescent="0.25">
      <c r="L1149" s="75"/>
      <c r="M1149" s="75"/>
      <c r="N1149" s="75"/>
      <c r="O1149" s="75"/>
      <c r="P1149" s="75"/>
    </row>
    <row r="1150" spans="12:16" x14ac:dyDescent="0.25">
      <c r="L1150" s="75"/>
      <c r="M1150" s="75"/>
      <c r="N1150" s="75"/>
      <c r="O1150" s="75"/>
      <c r="P1150" s="75"/>
    </row>
    <row r="1151" spans="12:16" x14ac:dyDescent="0.25">
      <c r="L1151" s="75"/>
      <c r="M1151" s="75"/>
      <c r="N1151" s="75"/>
      <c r="O1151" s="75"/>
      <c r="P1151" s="75"/>
    </row>
    <row r="1152" spans="12:16" x14ac:dyDescent="0.25">
      <c r="L1152" s="75"/>
      <c r="M1152" s="75"/>
      <c r="N1152" s="75"/>
      <c r="O1152" s="75"/>
      <c r="P1152" s="75"/>
    </row>
    <row r="1153" spans="12:16" x14ac:dyDescent="0.25">
      <c r="L1153" s="75"/>
      <c r="M1153" s="75"/>
      <c r="N1153" s="75"/>
      <c r="O1153" s="75"/>
      <c r="P1153" s="75"/>
    </row>
    <row r="1154" spans="12:16" x14ac:dyDescent="0.25">
      <c r="L1154" s="75"/>
      <c r="M1154" s="75"/>
      <c r="N1154" s="75"/>
      <c r="O1154" s="75"/>
      <c r="P1154" s="75"/>
    </row>
    <row r="1155" spans="12:16" x14ac:dyDescent="0.25">
      <c r="L1155" s="75"/>
      <c r="M1155" s="75"/>
      <c r="N1155" s="75"/>
      <c r="O1155" s="75"/>
      <c r="P1155" s="75"/>
    </row>
    <row r="1156" spans="12:16" x14ac:dyDescent="0.25">
      <c r="L1156" s="75"/>
      <c r="M1156" s="75"/>
      <c r="N1156" s="75"/>
      <c r="O1156" s="75"/>
      <c r="P1156" s="75"/>
    </row>
    <row r="1157" spans="12:16" x14ac:dyDescent="0.25">
      <c r="L1157" s="75"/>
      <c r="M1157" s="75"/>
      <c r="N1157" s="75"/>
      <c r="O1157" s="75"/>
      <c r="P1157" s="75"/>
    </row>
    <row r="1158" spans="12:16" x14ac:dyDescent="0.25">
      <c r="L1158" s="75"/>
      <c r="M1158" s="75"/>
      <c r="N1158" s="75"/>
      <c r="O1158" s="75"/>
      <c r="P1158" s="75"/>
    </row>
    <row r="1159" spans="12:16" x14ac:dyDescent="0.25">
      <c r="L1159" s="75"/>
      <c r="M1159" s="75"/>
      <c r="N1159" s="75"/>
      <c r="O1159" s="75"/>
      <c r="P1159" s="75"/>
    </row>
    <row r="1160" spans="12:16" x14ac:dyDescent="0.25">
      <c r="L1160" s="75"/>
      <c r="M1160" s="75"/>
      <c r="N1160" s="75"/>
      <c r="O1160" s="75"/>
      <c r="P1160" s="75"/>
    </row>
    <row r="1161" spans="12:16" x14ac:dyDescent="0.25">
      <c r="L1161" s="75"/>
      <c r="M1161" s="75"/>
      <c r="N1161" s="75"/>
      <c r="O1161" s="75"/>
      <c r="P1161" s="75"/>
    </row>
    <row r="1162" spans="12:16" x14ac:dyDescent="0.25">
      <c r="L1162" s="75"/>
      <c r="M1162" s="75"/>
      <c r="N1162" s="75"/>
      <c r="O1162" s="75"/>
      <c r="P1162" s="75"/>
    </row>
    <row r="1163" spans="12:16" x14ac:dyDescent="0.25">
      <c r="L1163" s="75"/>
      <c r="M1163" s="75"/>
      <c r="N1163" s="75"/>
      <c r="O1163" s="75"/>
      <c r="P1163" s="75"/>
    </row>
    <row r="1164" spans="12:16" x14ac:dyDescent="0.25">
      <c r="L1164" s="75"/>
      <c r="M1164" s="75"/>
      <c r="N1164" s="75"/>
      <c r="O1164" s="75"/>
      <c r="P1164" s="75"/>
    </row>
    <row r="1165" spans="12:16" x14ac:dyDescent="0.25">
      <c r="L1165" s="75"/>
      <c r="M1165" s="75"/>
      <c r="N1165" s="75"/>
      <c r="O1165" s="75"/>
      <c r="P1165" s="75"/>
    </row>
    <row r="1166" spans="12:16" x14ac:dyDescent="0.25">
      <c r="L1166" s="75"/>
      <c r="M1166" s="75"/>
      <c r="N1166" s="75"/>
      <c r="O1166" s="75"/>
      <c r="P1166" s="75"/>
    </row>
    <row r="1167" spans="12:16" x14ac:dyDescent="0.25">
      <c r="L1167" s="75"/>
      <c r="M1167" s="75"/>
      <c r="N1167" s="75"/>
      <c r="O1167" s="75"/>
      <c r="P1167" s="75"/>
    </row>
    <row r="1168" spans="12:16" x14ac:dyDescent="0.25">
      <c r="L1168" s="75"/>
      <c r="M1168" s="75"/>
      <c r="N1168" s="75"/>
      <c r="O1168" s="75"/>
      <c r="P1168" s="75"/>
    </row>
    <row r="1169" spans="12:16" x14ac:dyDescent="0.25">
      <c r="L1169" s="75"/>
      <c r="M1169" s="75"/>
      <c r="N1169" s="75"/>
      <c r="O1169" s="75"/>
      <c r="P1169" s="75"/>
    </row>
    <row r="1170" spans="12:16" x14ac:dyDescent="0.25">
      <c r="L1170" s="75"/>
      <c r="M1170" s="75"/>
      <c r="N1170" s="75"/>
      <c r="O1170" s="75"/>
      <c r="P1170" s="75"/>
    </row>
    <row r="1171" spans="12:16" x14ac:dyDescent="0.25">
      <c r="L1171" s="75"/>
      <c r="M1171" s="75"/>
      <c r="N1171" s="75"/>
      <c r="O1171" s="75"/>
      <c r="P1171" s="75"/>
    </row>
    <row r="1172" spans="12:16" x14ac:dyDescent="0.25">
      <c r="L1172" s="75"/>
      <c r="M1172" s="75"/>
      <c r="N1172" s="75"/>
      <c r="O1172" s="75"/>
      <c r="P1172" s="75"/>
    </row>
    <row r="1173" spans="12:16" x14ac:dyDescent="0.25">
      <c r="L1173" s="75"/>
      <c r="M1173" s="75"/>
      <c r="N1173" s="75"/>
      <c r="O1173" s="75"/>
      <c r="P1173" s="75"/>
    </row>
    <row r="1174" spans="12:16" x14ac:dyDescent="0.25">
      <c r="L1174" s="75"/>
      <c r="M1174" s="75"/>
      <c r="N1174" s="75"/>
      <c r="O1174" s="75"/>
      <c r="P1174" s="75"/>
    </row>
    <row r="1175" spans="12:16" x14ac:dyDescent="0.25">
      <c r="L1175" s="75"/>
      <c r="M1175" s="75"/>
      <c r="N1175" s="75"/>
      <c r="O1175" s="75"/>
      <c r="P1175" s="75"/>
    </row>
    <row r="1176" spans="12:16" x14ac:dyDescent="0.25">
      <c r="L1176" s="75"/>
      <c r="M1176" s="75"/>
      <c r="N1176" s="75"/>
      <c r="O1176" s="75"/>
      <c r="P1176" s="75"/>
    </row>
    <row r="1177" spans="12:16" x14ac:dyDescent="0.25">
      <c r="L1177" s="75"/>
      <c r="M1177" s="75"/>
      <c r="N1177" s="75"/>
      <c r="O1177" s="75"/>
      <c r="P1177" s="75"/>
    </row>
    <row r="1178" spans="12:16" x14ac:dyDescent="0.25">
      <c r="L1178" s="75"/>
      <c r="M1178" s="75"/>
      <c r="N1178" s="75"/>
      <c r="O1178" s="75"/>
      <c r="P1178" s="75"/>
    </row>
    <row r="1179" spans="12:16" x14ac:dyDescent="0.25">
      <c r="L1179" s="75"/>
      <c r="M1179" s="75"/>
      <c r="N1179" s="75"/>
      <c r="O1179" s="75"/>
      <c r="P1179" s="75"/>
    </row>
    <row r="1180" spans="12:16" x14ac:dyDescent="0.25">
      <c r="L1180" s="75"/>
      <c r="M1180" s="75"/>
      <c r="N1180" s="75"/>
      <c r="O1180" s="75"/>
      <c r="P1180" s="75"/>
    </row>
    <row r="1181" spans="12:16" x14ac:dyDescent="0.25">
      <c r="L1181" s="75"/>
      <c r="M1181" s="75"/>
      <c r="N1181" s="75"/>
      <c r="O1181" s="75"/>
      <c r="P1181" s="75"/>
    </row>
    <row r="1182" spans="12:16" x14ac:dyDescent="0.25">
      <c r="L1182" s="75"/>
      <c r="M1182" s="75"/>
      <c r="N1182" s="75"/>
      <c r="O1182" s="75"/>
      <c r="P1182" s="75"/>
    </row>
    <row r="1183" spans="12:16" x14ac:dyDescent="0.25">
      <c r="L1183" s="75"/>
      <c r="M1183" s="75"/>
      <c r="N1183" s="75"/>
      <c r="O1183" s="75"/>
      <c r="P1183" s="75"/>
    </row>
    <row r="1184" spans="12:16" x14ac:dyDescent="0.25">
      <c r="L1184" s="75"/>
      <c r="M1184" s="75"/>
      <c r="N1184" s="75"/>
      <c r="O1184" s="75"/>
      <c r="P1184" s="75"/>
    </row>
    <row r="1185" spans="12:16" x14ac:dyDescent="0.25">
      <c r="L1185" s="75"/>
      <c r="M1185" s="75"/>
      <c r="N1185" s="75"/>
      <c r="O1185" s="75"/>
      <c r="P1185" s="75"/>
    </row>
    <row r="1186" spans="12:16" x14ac:dyDescent="0.25">
      <c r="L1186" s="75"/>
      <c r="M1186" s="75"/>
      <c r="N1186" s="75"/>
      <c r="O1186" s="75"/>
      <c r="P1186" s="75"/>
    </row>
    <row r="1187" spans="12:16" x14ac:dyDescent="0.25">
      <c r="L1187" s="75"/>
      <c r="M1187" s="75"/>
      <c r="N1187" s="75"/>
      <c r="O1187" s="75"/>
      <c r="P1187" s="75"/>
    </row>
    <row r="1188" spans="12:16" x14ac:dyDescent="0.25">
      <c r="L1188" s="75"/>
      <c r="M1188" s="75"/>
      <c r="N1188" s="75"/>
      <c r="O1188" s="75"/>
      <c r="P1188" s="75"/>
    </row>
    <row r="1189" spans="12:16" x14ac:dyDescent="0.25">
      <c r="L1189" s="75"/>
      <c r="M1189" s="75"/>
      <c r="N1189" s="75"/>
      <c r="O1189" s="75"/>
      <c r="P1189" s="75"/>
    </row>
    <row r="1190" spans="12:16" x14ac:dyDescent="0.25">
      <c r="L1190" s="75"/>
      <c r="M1190" s="75"/>
      <c r="N1190" s="75"/>
      <c r="O1190" s="75"/>
      <c r="P1190" s="75"/>
    </row>
    <row r="1191" spans="12:16" x14ac:dyDescent="0.25">
      <c r="L1191" s="75"/>
      <c r="M1191" s="75"/>
      <c r="N1191" s="75"/>
      <c r="O1191" s="75"/>
      <c r="P1191" s="75"/>
    </row>
    <row r="1192" spans="12:16" x14ac:dyDescent="0.25">
      <c r="L1192" s="75"/>
      <c r="M1192" s="75"/>
      <c r="N1192" s="75"/>
      <c r="O1192" s="75"/>
      <c r="P1192" s="75"/>
    </row>
    <row r="1193" spans="12:16" x14ac:dyDescent="0.25">
      <c r="L1193" s="75"/>
      <c r="M1193" s="75"/>
      <c r="N1193" s="75"/>
      <c r="O1193" s="75"/>
      <c r="P1193" s="75"/>
    </row>
    <row r="1194" spans="12:16" x14ac:dyDescent="0.25">
      <c r="L1194" s="75"/>
      <c r="M1194" s="75"/>
      <c r="N1194" s="75"/>
      <c r="O1194" s="75"/>
      <c r="P1194" s="75"/>
    </row>
    <row r="1195" spans="12:16" x14ac:dyDescent="0.25">
      <c r="L1195" s="75"/>
      <c r="M1195" s="75"/>
      <c r="N1195" s="75"/>
      <c r="O1195" s="75"/>
      <c r="P1195" s="75"/>
    </row>
    <row r="1196" spans="12:16" x14ac:dyDescent="0.25">
      <c r="L1196" s="75"/>
      <c r="M1196" s="75"/>
      <c r="N1196" s="75"/>
      <c r="O1196" s="75"/>
      <c r="P1196" s="75"/>
    </row>
    <row r="1197" spans="12:16" x14ac:dyDescent="0.25">
      <c r="L1197" s="75"/>
      <c r="M1197" s="75"/>
      <c r="N1197" s="75"/>
      <c r="O1197" s="75"/>
      <c r="P1197" s="75"/>
    </row>
    <row r="1198" spans="12:16" x14ac:dyDescent="0.25">
      <c r="L1198" s="75"/>
      <c r="M1198" s="75"/>
      <c r="N1198" s="75"/>
      <c r="O1198" s="75"/>
      <c r="P1198" s="75"/>
    </row>
    <row r="1199" spans="12:16" x14ac:dyDescent="0.25">
      <c r="L1199" s="75"/>
      <c r="M1199" s="75"/>
      <c r="N1199" s="75"/>
      <c r="O1199" s="75"/>
      <c r="P1199" s="75"/>
    </row>
    <row r="1200" spans="12:16" x14ac:dyDescent="0.25">
      <c r="L1200" s="75"/>
      <c r="M1200" s="75"/>
      <c r="N1200" s="75"/>
      <c r="O1200" s="75"/>
      <c r="P1200" s="75"/>
    </row>
    <row r="1201" spans="12:16" x14ac:dyDescent="0.25">
      <c r="L1201" s="75"/>
      <c r="M1201" s="75"/>
      <c r="N1201" s="75"/>
      <c r="O1201" s="75"/>
      <c r="P1201" s="75"/>
    </row>
    <row r="1202" spans="12:16" x14ac:dyDescent="0.25">
      <c r="L1202" s="75"/>
      <c r="M1202" s="75"/>
      <c r="N1202" s="75"/>
      <c r="O1202" s="75"/>
      <c r="P1202" s="75"/>
    </row>
    <row r="1203" spans="12:16" x14ac:dyDescent="0.25">
      <c r="L1203" s="75"/>
      <c r="M1203" s="75"/>
      <c r="N1203" s="75"/>
      <c r="O1203" s="75"/>
      <c r="P1203" s="75"/>
    </row>
    <row r="1204" spans="12:16" x14ac:dyDescent="0.25">
      <c r="L1204" s="75"/>
      <c r="M1204" s="75"/>
      <c r="N1204" s="75"/>
      <c r="O1204" s="75"/>
      <c r="P1204" s="75"/>
    </row>
    <row r="1205" spans="12:16" x14ac:dyDescent="0.25">
      <c r="L1205" s="75"/>
      <c r="M1205" s="75"/>
      <c r="N1205" s="75"/>
      <c r="O1205" s="75"/>
      <c r="P1205" s="75"/>
    </row>
    <row r="1206" spans="12:16" x14ac:dyDescent="0.25">
      <c r="L1206" s="75"/>
      <c r="M1206" s="75"/>
      <c r="N1206" s="75"/>
      <c r="O1206" s="75"/>
      <c r="P1206" s="75"/>
    </row>
    <row r="1207" spans="12:16" x14ac:dyDescent="0.25">
      <c r="L1207" s="75"/>
      <c r="M1207" s="75"/>
      <c r="N1207" s="75"/>
      <c r="O1207" s="75"/>
      <c r="P1207" s="75"/>
    </row>
    <row r="1208" spans="12:16" x14ac:dyDescent="0.25">
      <c r="L1208" s="75"/>
      <c r="M1208" s="75"/>
      <c r="N1208" s="75"/>
      <c r="O1208" s="75"/>
      <c r="P1208" s="75"/>
    </row>
    <row r="1209" spans="12:16" x14ac:dyDescent="0.25">
      <c r="L1209" s="75"/>
      <c r="M1209" s="75"/>
      <c r="N1209" s="75"/>
      <c r="O1209" s="75"/>
      <c r="P1209" s="75"/>
    </row>
    <row r="1210" spans="12:16" x14ac:dyDescent="0.25">
      <c r="L1210" s="75"/>
      <c r="M1210" s="75"/>
      <c r="N1210" s="75"/>
      <c r="O1210" s="75"/>
      <c r="P1210" s="75"/>
    </row>
    <row r="1211" spans="12:16" x14ac:dyDescent="0.25">
      <c r="L1211" s="75"/>
      <c r="M1211" s="75"/>
      <c r="N1211" s="75"/>
      <c r="O1211" s="75"/>
      <c r="P1211" s="75"/>
    </row>
    <row r="1212" spans="12:16" x14ac:dyDescent="0.25">
      <c r="L1212" s="75"/>
      <c r="M1212" s="75"/>
      <c r="N1212" s="75"/>
      <c r="O1212" s="75"/>
      <c r="P1212" s="75"/>
    </row>
    <row r="1213" spans="12:16" x14ac:dyDescent="0.25">
      <c r="L1213" s="75"/>
      <c r="M1213" s="75"/>
      <c r="N1213" s="75"/>
      <c r="O1213" s="75"/>
      <c r="P1213" s="75"/>
    </row>
    <row r="1214" spans="12:16" x14ac:dyDescent="0.25">
      <c r="L1214" s="75"/>
      <c r="M1214" s="75"/>
      <c r="N1214" s="75"/>
      <c r="O1214" s="75"/>
      <c r="P1214" s="75"/>
    </row>
    <row r="1215" spans="12:16" x14ac:dyDescent="0.25">
      <c r="L1215" s="75"/>
      <c r="M1215" s="75"/>
      <c r="N1215" s="75"/>
      <c r="O1215" s="75"/>
      <c r="P1215" s="75"/>
    </row>
    <row r="1216" spans="12:16" x14ac:dyDescent="0.25">
      <c r="L1216" s="75"/>
      <c r="M1216" s="75"/>
      <c r="N1216" s="75"/>
      <c r="O1216" s="75"/>
      <c r="P1216" s="75"/>
    </row>
    <row r="1217" spans="12:16" x14ac:dyDescent="0.25">
      <c r="L1217" s="75"/>
      <c r="M1217" s="75"/>
      <c r="N1217" s="75"/>
      <c r="O1217" s="75"/>
      <c r="P1217" s="75"/>
    </row>
    <row r="1218" spans="12:16" x14ac:dyDescent="0.25">
      <c r="L1218" s="75"/>
      <c r="M1218" s="75"/>
      <c r="N1218" s="75"/>
      <c r="O1218" s="75"/>
      <c r="P1218" s="75"/>
    </row>
    <row r="1219" spans="12:16" x14ac:dyDescent="0.25">
      <c r="L1219" s="75"/>
      <c r="M1219" s="75"/>
      <c r="N1219" s="75"/>
      <c r="O1219" s="75"/>
      <c r="P1219" s="75"/>
    </row>
    <row r="1220" spans="12:16" x14ac:dyDescent="0.25">
      <c r="L1220" s="75"/>
      <c r="M1220" s="75"/>
      <c r="N1220" s="75"/>
      <c r="O1220" s="75"/>
      <c r="P1220" s="75"/>
    </row>
    <row r="1221" spans="12:16" x14ac:dyDescent="0.25">
      <c r="L1221" s="75"/>
      <c r="M1221" s="75"/>
      <c r="N1221" s="75"/>
      <c r="O1221" s="75"/>
      <c r="P1221" s="75"/>
    </row>
    <row r="1222" spans="12:16" x14ac:dyDescent="0.25">
      <c r="L1222" s="75"/>
      <c r="M1222" s="75"/>
      <c r="N1222" s="75"/>
      <c r="O1222" s="75"/>
      <c r="P1222" s="75"/>
    </row>
    <row r="1223" spans="12:16" x14ac:dyDescent="0.25">
      <c r="L1223" s="75"/>
      <c r="M1223" s="75"/>
      <c r="N1223" s="75"/>
      <c r="O1223" s="75"/>
      <c r="P1223" s="75"/>
    </row>
    <row r="1224" spans="12:16" x14ac:dyDescent="0.25">
      <c r="L1224" s="75"/>
      <c r="M1224" s="75"/>
      <c r="N1224" s="75"/>
      <c r="O1224" s="75"/>
      <c r="P1224" s="75"/>
    </row>
    <row r="1225" spans="12:16" x14ac:dyDescent="0.25">
      <c r="L1225" s="75"/>
      <c r="M1225" s="75"/>
      <c r="N1225" s="75"/>
      <c r="O1225" s="75"/>
      <c r="P1225" s="75"/>
    </row>
    <row r="1226" spans="12:16" x14ac:dyDescent="0.25">
      <c r="L1226" s="75"/>
      <c r="M1226" s="75"/>
      <c r="N1226" s="75"/>
      <c r="O1226" s="75"/>
      <c r="P1226" s="75"/>
    </row>
    <row r="1227" spans="12:16" x14ac:dyDescent="0.25">
      <c r="L1227" s="75"/>
      <c r="M1227" s="75"/>
      <c r="N1227" s="75"/>
      <c r="O1227" s="75"/>
      <c r="P1227" s="75"/>
    </row>
    <row r="1228" spans="12:16" x14ac:dyDescent="0.25">
      <c r="L1228" s="75"/>
      <c r="M1228" s="75"/>
      <c r="N1228" s="75"/>
      <c r="O1228" s="75"/>
      <c r="P1228" s="75"/>
    </row>
    <row r="1229" spans="12:16" x14ac:dyDescent="0.25">
      <c r="L1229" s="75"/>
      <c r="M1229" s="75"/>
      <c r="N1229" s="75"/>
      <c r="O1229" s="75"/>
      <c r="P1229" s="75"/>
    </row>
    <row r="1230" spans="12:16" x14ac:dyDescent="0.25">
      <c r="L1230" s="75"/>
      <c r="M1230" s="75"/>
      <c r="N1230" s="75"/>
      <c r="O1230" s="75"/>
      <c r="P1230" s="75"/>
    </row>
    <row r="1231" spans="12:16" x14ac:dyDescent="0.25">
      <c r="L1231" s="75"/>
      <c r="M1231" s="75"/>
      <c r="N1231" s="75"/>
      <c r="O1231" s="75"/>
      <c r="P1231" s="75"/>
    </row>
    <row r="1232" spans="12:16" x14ac:dyDescent="0.25">
      <c r="L1232" s="75"/>
      <c r="M1232" s="75"/>
      <c r="N1232" s="75"/>
      <c r="O1232" s="75"/>
      <c r="P1232" s="75"/>
    </row>
    <row r="1233" spans="12:16" x14ac:dyDescent="0.25">
      <c r="L1233" s="75"/>
      <c r="M1233" s="75"/>
      <c r="N1233" s="75"/>
      <c r="O1233" s="75"/>
      <c r="P1233" s="75"/>
    </row>
    <row r="1234" spans="12:16" x14ac:dyDescent="0.25">
      <c r="L1234" s="75"/>
      <c r="M1234" s="75"/>
      <c r="N1234" s="75"/>
      <c r="O1234" s="75"/>
      <c r="P1234" s="75"/>
    </row>
    <row r="1235" spans="12:16" x14ac:dyDescent="0.25">
      <c r="L1235" s="75"/>
      <c r="M1235" s="75"/>
      <c r="N1235" s="75"/>
      <c r="O1235" s="75"/>
      <c r="P1235" s="75"/>
    </row>
    <row r="1236" spans="12:16" x14ac:dyDescent="0.25">
      <c r="L1236" s="75"/>
      <c r="M1236" s="75"/>
      <c r="N1236" s="75"/>
      <c r="O1236" s="75"/>
      <c r="P1236" s="75"/>
    </row>
    <row r="1237" spans="12:16" x14ac:dyDescent="0.25">
      <c r="L1237" s="75"/>
      <c r="M1237" s="75"/>
      <c r="N1237" s="75"/>
      <c r="O1237" s="75"/>
      <c r="P1237" s="75"/>
    </row>
    <row r="1238" spans="12:16" x14ac:dyDescent="0.25">
      <c r="L1238" s="75"/>
      <c r="M1238" s="75"/>
      <c r="N1238" s="75"/>
      <c r="O1238" s="75"/>
      <c r="P1238" s="75"/>
    </row>
    <row r="1239" spans="12:16" x14ac:dyDescent="0.25">
      <c r="L1239" s="75"/>
      <c r="M1239" s="75"/>
      <c r="N1239" s="75"/>
      <c r="O1239" s="75"/>
      <c r="P1239" s="75"/>
    </row>
    <row r="1240" spans="12:16" x14ac:dyDescent="0.25">
      <c r="L1240" s="75"/>
      <c r="M1240" s="75"/>
      <c r="N1240" s="75"/>
      <c r="O1240" s="75"/>
      <c r="P1240" s="75"/>
    </row>
    <row r="1241" spans="12:16" x14ac:dyDescent="0.25">
      <c r="L1241" s="75"/>
      <c r="M1241" s="75"/>
      <c r="N1241" s="75"/>
      <c r="O1241" s="75"/>
      <c r="P1241" s="75"/>
    </row>
    <row r="1242" spans="12:16" x14ac:dyDescent="0.25">
      <c r="L1242" s="75"/>
      <c r="M1242" s="75"/>
      <c r="N1242" s="75"/>
      <c r="O1242" s="75"/>
      <c r="P1242" s="75"/>
    </row>
    <row r="1243" spans="12:16" x14ac:dyDescent="0.25">
      <c r="L1243" s="75"/>
      <c r="M1243" s="75"/>
      <c r="N1243" s="75"/>
      <c r="O1243" s="75"/>
      <c r="P1243" s="75"/>
    </row>
    <row r="1244" spans="12:16" x14ac:dyDescent="0.25">
      <c r="L1244" s="75"/>
      <c r="M1244" s="75"/>
      <c r="N1244" s="75"/>
      <c r="O1244" s="75"/>
      <c r="P1244" s="75"/>
    </row>
    <row r="1245" spans="12:16" x14ac:dyDescent="0.25">
      <c r="L1245" s="75"/>
      <c r="M1245" s="75"/>
      <c r="N1245" s="75"/>
      <c r="O1245" s="75"/>
      <c r="P1245" s="75"/>
    </row>
    <row r="1246" spans="12:16" x14ac:dyDescent="0.25">
      <c r="L1246" s="75"/>
      <c r="M1246" s="75"/>
      <c r="N1246" s="75"/>
      <c r="O1246" s="75"/>
      <c r="P1246" s="75"/>
    </row>
    <row r="1247" spans="12:16" x14ac:dyDescent="0.25">
      <c r="L1247" s="75"/>
      <c r="M1247" s="75"/>
      <c r="N1247" s="75"/>
      <c r="O1247" s="75"/>
      <c r="P1247" s="75"/>
    </row>
    <row r="1248" spans="12:16" x14ac:dyDescent="0.25">
      <c r="L1248" s="75"/>
      <c r="M1248" s="75"/>
      <c r="N1248" s="75"/>
      <c r="O1248" s="75"/>
      <c r="P1248" s="75"/>
    </row>
    <row r="1249" spans="12:16" x14ac:dyDescent="0.25">
      <c r="L1249" s="75"/>
      <c r="M1249" s="75"/>
      <c r="N1249" s="75"/>
      <c r="O1249" s="75"/>
      <c r="P1249" s="75"/>
    </row>
    <row r="1250" spans="12:16" x14ac:dyDescent="0.25">
      <c r="L1250" s="75"/>
      <c r="M1250" s="75"/>
      <c r="N1250" s="75"/>
      <c r="O1250" s="75"/>
      <c r="P1250" s="75"/>
    </row>
    <row r="1251" spans="12:16" x14ac:dyDescent="0.25">
      <c r="L1251" s="75"/>
      <c r="M1251" s="75"/>
      <c r="N1251" s="75"/>
      <c r="O1251" s="75"/>
      <c r="P1251" s="75"/>
    </row>
    <row r="1252" spans="12:16" x14ac:dyDescent="0.25">
      <c r="L1252" s="75"/>
      <c r="M1252" s="75"/>
      <c r="N1252" s="75"/>
      <c r="O1252" s="75"/>
      <c r="P1252" s="75"/>
    </row>
    <row r="1253" spans="12:16" x14ac:dyDescent="0.25">
      <c r="L1253" s="75"/>
      <c r="M1253" s="75"/>
      <c r="N1253" s="75"/>
      <c r="O1253" s="75"/>
      <c r="P1253" s="75"/>
    </row>
    <row r="1254" spans="12:16" x14ac:dyDescent="0.25">
      <c r="L1254" s="75"/>
      <c r="M1254" s="75"/>
      <c r="N1254" s="75"/>
      <c r="O1254" s="75"/>
      <c r="P1254" s="75"/>
    </row>
    <row r="1255" spans="12:16" x14ac:dyDescent="0.25">
      <c r="L1255" s="75"/>
      <c r="M1255" s="75"/>
      <c r="N1255" s="75"/>
      <c r="O1255" s="75"/>
      <c r="P1255" s="75"/>
    </row>
    <row r="1256" spans="12:16" x14ac:dyDescent="0.25">
      <c r="L1256" s="75"/>
      <c r="M1256" s="75"/>
      <c r="N1256" s="75"/>
      <c r="O1256" s="75"/>
      <c r="P1256" s="75"/>
    </row>
    <row r="1257" spans="12:16" x14ac:dyDescent="0.25">
      <c r="L1257" s="75"/>
      <c r="M1257" s="75"/>
      <c r="N1257" s="75"/>
      <c r="O1257" s="75"/>
      <c r="P1257" s="75"/>
    </row>
    <row r="1258" spans="12:16" x14ac:dyDescent="0.25">
      <c r="L1258" s="75"/>
      <c r="M1258" s="75"/>
      <c r="N1258" s="75"/>
      <c r="O1258" s="75"/>
      <c r="P1258" s="75"/>
    </row>
    <row r="1259" spans="12:16" x14ac:dyDescent="0.25">
      <c r="L1259" s="75"/>
      <c r="M1259" s="75"/>
      <c r="N1259" s="75"/>
      <c r="O1259" s="75"/>
      <c r="P1259" s="75"/>
    </row>
    <row r="1260" spans="12:16" x14ac:dyDescent="0.25">
      <c r="L1260" s="75"/>
      <c r="M1260" s="75"/>
      <c r="N1260" s="75"/>
      <c r="O1260" s="75"/>
      <c r="P1260" s="75"/>
    </row>
    <row r="1261" spans="12:16" x14ac:dyDescent="0.25">
      <c r="L1261" s="75"/>
      <c r="M1261" s="75"/>
      <c r="N1261" s="75"/>
      <c r="O1261" s="75"/>
      <c r="P1261" s="75"/>
    </row>
    <row r="1262" spans="12:16" x14ac:dyDescent="0.25">
      <c r="L1262" s="75"/>
      <c r="M1262" s="75"/>
      <c r="N1262" s="75"/>
      <c r="O1262" s="75"/>
      <c r="P1262" s="75"/>
    </row>
    <row r="1263" spans="12:16" x14ac:dyDescent="0.25">
      <c r="L1263" s="75"/>
      <c r="M1263" s="75"/>
      <c r="N1263" s="75"/>
      <c r="O1263" s="75"/>
      <c r="P1263" s="75"/>
    </row>
    <row r="1264" spans="12:16" x14ac:dyDescent="0.25">
      <c r="L1264" s="75"/>
      <c r="M1264" s="75"/>
      <c r="N1264" s="75"/>
      <c r="O1264" s="75"/>
      <c r="P1264" s="75"/>
    </row>
    <row r="1265" spans="12:16" x14ac:dyDescent="0.25">
      <c r="L1265" s="75"/>
      <c r="M1265" s="75"/>
      <c r="N1265" s="75"/>
      <c r="O1265" s="75"/>
      <c r="P1265" s="75"/>
    </row>
    <row r="1266" spans="12:16" x14ac:dyDescent="0.25">
      <c r="L1266" s="75"/>
      <c r="M1266" s="75"/>
      <c r="N1266" s="75"/>
      <c r="O1266" s="75"/>
      <c r="P1266" s="75"/>
    </row>
    <row r="1267" spans="12:16" x14ac:dyDescent="0.25">
      <c r="L1267" s="75"/>
      <c r="M1267" s="75"/>
      <c r="N1267" s="75"/>
      <c r="O1267" s="75"/>
      <c r="P1267" s="75"/>
    </row>
    <row r="1268" spans="12:16" x14ac:dyDescent="0.25">
      <c r="L1268" s="75"/>
      <c r="M1268" s="75"/>
      <c r="N1268" s="75"/>
      <c r="O1268" s="75"/>
      <c r="P1268" s="75"/>
    </row>
    <row r="1269" spans="12:16" x14ac:dyDescent="0.25">
      <c r="L1269" s="75"/>
      <c r="M1269" s="75"/>
      <c r="N1269" s="75"/>
      <c r="O1269" s="75"/>
      <c r="P1269" s="75"/>
    </row>
    <row r="1270" spans="12:16" x14ac:dyDescent="0.25">
      <c r="L1270" s="75"/>
      <c r="M1270" s="75"/>
      <c r="N1270" s="75"/>
      <c r="O1270" s="75"/>
      <c r="P1270" s="75"/>
    </row>
    <row r="1271" spans="12:16" x14ac:dyDescent="0.25">
      <c r="L1271" s="75"/>
      <c r="M1271" s="75"/>
      <c r="N1271" s="75"/>
      <c r="O1271" s="75"/>
      <c r="P1271" s="75"/>
    </row>
    <row r="1272" spans="12:16" x14ac:dyDescent="0.25">
      <c r="L1272" s="75"/>
      <c r="M1272" s="75"/>
      <c r="N1272" s="75"/>
      <c r="O1272" s="75"/>
      <c r="P1272" s="75"/>
    </row>
    <row r="1273" spans="12:16" x14ac:dyDescent="0.25">
      <c r="L1273" s="75"/>
      <c r="M1273" s="75"/>
      <c r="N1273" s="75"/>
      <c r="O1273" s="75"/>
      <c r="P1273" s="75"/>
    </row>
    <row r="1274" spans="12:16" x14ac:dyDescent="0.25">
      <c r="L1274" s="75"/>
      <c r="M1274" s="75"/>
      <c r="N1274" s="75"/>
      <c r="O1274" s="75"/>
      <c r="P1274" s="75"/>
    </row>
    <row r="1275" spans="12:16" x14ac:dyDescent="0.25">
      <c r="L1275" s="75"/>
      <c r="M1275" s="75"/>
      <c r="N1275" s="75"/>
      <c r="O1275" s="75"/>
      <c r="P1275" s="75"/>
    </row>
    <row r="1276" spans="12:16" x14ac:dyDescent="0.25">
      <c r="L1276" s="75"/>
      <c r="M1276" s="75"/>
      <c r="N1276" s="75"/>
      <c r="O1276" s="75"/>
      <c r="P1276" s="75"/>
    </row>
    <row r="1277" spans="12:16" x14ac:dyDescent="0.25">
      <c r="L1277" s="75"/>
      <c r="M1277" s="75"/>
      <c r="N1277" s="75"/>
      <c r="O1277" s="75"/>
      <c r="P1277" s="75"/>
    </row>
    <row r="1278" spans="12:16" x14ac:dyDescent="0.25">
      <c r="L1278" s="75"/>
      <c r="M1278" s="75"/>
      <c r="N1278" s="75"/>
      <c r="O1278" s="75"/>
      <c r="P1278" s="75"/>
    </row>
    <row r="1279" spans="12:16" x14ac:dyDescent="0.25">
      <c r="L1279" s="75"/>
      <c r="M1279" s="75"/>
      <c r="N1279" s="75"/>
      <c r="O1279" s="75"/>
      <c r="P1279" s="75"/>
    </row>
    <row r="1280" spans="12:16" x14ac:dyDescent="0.25">
      <c r="L1280" s="75"/>
      <c r="M1280" s="75"/>
      <c r="N1280" s="75"/>
      <c r="O1280" s="75"/>
      <c r="P1280" s="75"/>
    </row>
    <row r="1281" spans="12:16" x14ac:dyDescent="0.25">
      <c r="L1281" s="75"/>
      <c r="M1281" s="75"/>
      <c r="N1281" s="75"/>
      <c r="O1281" s="75"/>
      <c r="P1281" s="75"/>
    </row>
    <row r="1282" spans="12:16" x14ac:dyDescent="0.25">
      <c r="L1282" s="75"/>
      <c r="M1282" s="75"/>
      <c r="N1282" s="75"/>
      <c r="O1282" s="75"/>
      <c r="P1282" s="75"/>
    </row>
    <row r="1283" spans="12:16" x14ac:dyDescent="0.25">
      <c r="L1283" s="75"/>
      <c r="M1283" s="75"/>
      <c r="N1283" s="75"/>
      <c r="O1283" s="75"/>
      <c r="P1283" s="75"/>
    </row>
    <row r="1284" spans="12:16" x14ac:dyDescent="0.25">
      <c r="L1284" s="75"/>
      <c r="M1284" s="75"/>
      <c r="N1284" s="75"/>
      <c r="O1284" s="75"/>
      <c r="P1284" s="75"/>
    </row>
    <row r="1285" spans="12:16" x14ac:dyDescent="0.25">
      <c r="L1285" s="75"/>
      <c r="M1285" s="75"/>
      <c r="N1285" s="75"/>
      <c r="O1285" s="75"/>
      <c r="P1285" s="75"/>
    </row>
    <row r="1286" spans="12:16" x14ac:dyDescent="0.25">
      <c r="L1286" s="75"/>
      <c r="M1286" s="75"/>
      <c r="N1286" s="75"/>
      <c r="O1286" s="75"/>
      <c r="P1286" s="75"/>
    </row>
    <row r="1287" spans="12:16" x14ac:dyDescent="0.25">
      <c r="L1287" s="75"/>
      <c r="M1287" s="75"/>
      <c r="N1287" s="75"/>
      <c r="O1287" s="75"/>
      <c r="P1287" s="75"/>
    </row>
    <row r="1288" spans="12:16" x14ac:dyDescent="0.25">
      <c r="L1288" s="75"/>
      <c r="M1288" s="75"/>
      <c r="N1288" s="75"/>
      <c r="O1288" s="75"/>
      <c r="P1288" s="75"/>
    </row>
    <row r="1289" spans="12:16" x14ac:dyDescent="0.25">
      <c r="L1289" s="75"/>
      <c r="M1289" s="75"/>
      <c r="N1289" s="75"/>
      <c r="O1289" s="75"/>
      <c r="P1289" s="75"/>
    </row>
    <row r="1290" spans="12:16" x14ac:dyDescent="0.25">
      <c r="L1290" s="75"/>
      <c r="M1290" s="75"/>
      <c r="N1290" s="75"/>
      <c r="O1290" s="75"/>
      <c r="P1290" s="75"/>
    </row>
    <row r="1291" spans="12:16" x14ac:dyDescent="0.25">
      <c r="L1291" s="75"/>
      <c r="M1291" s="75"/>
      <c r="N1291" s="75"/>
      <c r="O1291" s="75"/>
      <c r="P1291" s="75"/>
    </row>
    <row r="1292" spans="12:16" x14ac:dyDescent="0.25">
      <c r="L1292" s="75"/>
      <c r="M1292" s="75"/>
      <c r="N1292" s="75"/>
      <c r="O1292" s="75"/>
      <c r="P1292" s="75"/>
    </row>
    <row r="1293" spans="12:16" x14ac:dyDescent="0.25">
      <c r="L1293" s="75"/>
      <c r="M1293" s="75"/>
      <c r="N1293" s="75"/>
      <c r="O1293" s="75"/>
      <c r="P1293" s="75"/>
    </row>
    <row r="1294" spans="12:16" x14ac:dyDescent="0.25">
      <c r="L1294" s="75"/>
      <c r="M1294" s="75"/>
      <c r="N1294" s="75"/>
      <c r="O1294" s="75"/>
      <c r="P1294" s="75"/>
    </row>
    <row r="1295" spans="12:16" x14ac:dyDescent="0.25">
      <c r="L1295" s="75"/>
      <c r="M1295" s="75"/>
      <c r="N1295" s="75"/>
      <c r="O1295" s="75"/>
      <c r="P1295" s="75"/>
    </row>
    <row r="1296" spans="12:16" x14ac:dyDescent="0.25">
      <c r="L1296" s="75"/>
      <c r="M1296" s="75"/>
      <c r="N1296" s="75"/>
      <c r="O1296" s="75"/>
      <c r="P1296" s="75"/>
    </row>
    <row r="1297" spans="12:16" x14ac:dyDescent="0.25">
      <c r="L1297" s="75"/>
      <c r="M1297" s="75"/>
      <c r="N1297" s="75"/>
      <c r="O1297" s="75"/>
      <c r="P1297" s="75"/>
    </row>
    <row r="1298" spans="12:16" x14ac:dyDescent="0.25">
      <c r="L1298" s="75"/>
      <c r="M1298" s="75"/>
      <c r="N1298" s="75"/>
      <c r="O1298" s="75"/>
      <c r="P1298" s="75"/>
    </row>
    <row r="1299" spans="12:16" x14ac:dyDescent="0.25">
      <c r="L1299" s="75"/>
      <c r="M1299" s="75"/>
      <c r="N1299" s="75"/>
      <c r="O1299" s="75"/>
      <c r="P1299" s="75"/>
    </row>
    <row r="1300" spans="12:16" x14ac:dyDescent="0.25">
      <c r="L1300" s="75"/>
      <c r="M1300" s="75"/>
      <c r="N1300" s="75"/>
      <c r="O1300" s="75"/>
      <c r="P1300" s="75"/>
    </row>
    <row r="1301" spans="12:16" x14ac:dyDescent="0.25">
      <c r="L1301" s="75"/>
      <c r="M1301" s="75"/>
      <c r="N1301" s="75"/>
      <c r="O1301" s="75"/>
      <c r="P1301" s="75"/>
    </row>
    <row r="1302" spans="12:16" x14ac:dyDescent="0.25">
      <c r="L1302" s="75"/>
      <c r="M1302" s="75"/>
      <c r="N1302" s="75"/>
      <c r="O1302" s="75"/>
      <c r="P1302" s="75"/>
    </row>
    <row r="1303" spans="12:16" x14ac:dyDescent="0.25">
      <c r="L1303" s="75"/>
      <c r="M1303" s="75"/>
      <c r="N1303" s="75"/>
      <c r="O1303" s="75"/>
      <c r="P1303" s="75"/>
    </row>
    <row r="1304" spans="12:16" x14ac:dyDescent="0.25">
      <c r="L1304" s="75"/>
      <c r="M1304" s="75"/>
      <c r="N1304" s="75"/>
      <c r="O1304" s="75"/>
      <c r="P1304" s="75"/>
    </row>
    <row r="1305" spans="12:16" x14ac:dyDescent="0.25">
      <c r="L1305" s="75"/>
      <c r="M1305" s="75"/>
      <c r="N1305" s="75"/>
      <c r="O1305" s="75"/>
      <c r="P1305" s="75"/>
    </row>
    <row r="1306" spans="12:16" x14ac:dyDescent="0.25">
      <c r="L1306" s="75"/>
      <c r="M1306" s="75"/>
      <c r="N1306" s="75"/>
      <c r="O1306" s="75"/>
      <c r="P1306" s="75"/>
    </row>
    <row r="1307" spans="12:16" x14ac:dyDescent="0.25">
      <c r="L1307" s="75"/>
      <c r="M1307" s="75"/>
      <c r="N1307" s="75"/>
      <c r="O1307" s="75"/>
      <c r="P1307" s="75"/>
    </row>
    <row r="1308" spans="12:16" x14ac:dyDescent="0.25">
      <c r="L1308" s="75"/>
      <c r="M1308" s="75"/>
      <c r="N1308" s="75"/>
      <c r="O1308" s="75"/>
      <c r="P1308" s="75"/>
    </row>
    <row r="1309" spans="12:16" x14ac:dyDescent="0.25">
      <c r="L1309" s="75"/>
      <c r="M1309" s="75"/>
      <c r="N1309" s="75"/>
      <c r="O1309" s="75"/>
      <c r="P1309" s="75"/>
    </row>
    <row r="1310" spans="12:16" x14ac:dyDescent="0.25">
      <c r="L1310" s="75"/>
      <c r="M1310" s="75"/>
      <c r="N1310" s="75"/>
      <c r="O1310" s="75"/>
      <c r="P1310" s="75"/>
    </row>
    <row r="1311" spans="12:16" x14ac:dyDescent="0.25">
      <c r="L1311" s="75"/>
      <c r="M1311" s="75"/>
      <c r="N1311" s="75"/>
      <c r="O1311" s="75"/>
      <c r="P1311" s="75"/>
    </row>
    <row r="1312" spans="12:16" x14ac:dyDescent="0.25">
      <c r="L1312" s="75"/>
      <c r="M1312" s="75"/>
      <c r="N1312" s="75"/>
      <c r="O1312" s="75"/>
      <c r="P1312" s="75"/>
    </row>
    <row r="1313" spans="12:16" x14ac:dyDescent="0.25">
      <c r="L1313" s="75"/>
      <c r="M1313" s="75"/>
      <c r="N1313" s="75"/>
      <c r="O1313" s="75"/>
      <c r="P1313" s="75"/>
    </row>
    <row r="1314" spans="12:16" x14ac:dyDescent="0.25">
      <c r="L1314" s="75"/>
      <c r="M1314" s="75"/>
      <c r="N1314" s="75"/>
      <c r="O1314" s="75"/>
      <c r="P1314" s="75"/>
    </row>
    <row r="1315" spans="12:16" x14ac:dyDescent="0.25">
      <c r="L1315" s="75"/>
      <c r="M1315" s="75"/>
      <c r="N1315" s="75"/>
      <c r="O1315" s="75"/>
      <c r="P1315" s="75"/>
    </row>
    <row r="1316" spans="12:16" x14ac:dyDescent="0.25">
      <c r="L1316" s="75"/>
      <c r="M1316" s="75"/>
      <c r="N1316" s="75"/>
      <c r="O1316" s="75"/>
      <c r="P1316" s="75"/>
    </row>
    <row r="1317" spans="12:16" x14ac:dyDescent="0.25">
      <c r="L1317" s="75"/>
      <c r="M1317" s="75"/>
      <c r="N1317" s="75"/>
      <c r="O1317" s="75"/>
      <c r="P1317" s="75"/>
    </row>
    <row r="1318" spans="12:16" x14ac:dyDescent="0.25">
      <c r="L1318" s="75"/>
      <c r="M1318" s="75"/>
      <c r="N1318" s="75"/>
      <c r="O1318" s="75"/>
      <c r="P1318" s="75"/>
    </row>
    <row r="1319" spans="12:16" x14ac:dyDescent="0.25">
      <c r="L1319" s="75"/>
      <c r="M1319" s="75"/>
      <c r="N1319" s="75"/>
      <c r="O1319" s="75"/>
      <c r="P1319" s="75"/>
    </row>
    <row r="1320" spans="12:16" x14ac:dyDescent="0.25">
      <c r="L1320" s="75"/>
      <c r="M1320" s="75"/>
      <c r="N1320" s="75"/>
      <c r="O1320" s="75"/>
      <c r="P1320" s="75"/>
    </row>
    <row r="1321" spans="12:16" x14ac:dyDescent="0.25">
      <c r="L1321" s="75"/>
      <c r="M1321" s="75"/>
      <c r="N1321" s="75"/>
      <c r="O1321" s="75"/>
      <c r="P1321" s="75"/>
    </row>
    <row r="1322" spans="12:16" x14ac:dyDescent="0.25">
      <c r="L1322" s="75"/>
      <c r="M1322" s="75"/>
      <c r="N1322" s="75"/>
      <c r="O1322" s="75"/>
      <c r="P1322" s="75"/>
    </row>
    <row r="1323" spans="12:16" x14ac:dyDescent="0.25">
      <c r="L1323" s="75"/>
      <c r="M1323" s="75"/>
      <c r="N1323" s="75"/>
      <c r="O1323" s="75"/>
      <c r="P1323" s="75"/>
    </row>
    <row r="1324" spans="12:16" x14ac:dyDescent="0.25">
      <c r="L1324" s="75"/>
      <c r="M1324" s="75"/>
      <c r="N1324" s="75"/>
      <c r="O1324" s="75"/>
      <c r="P1324" s="75"/>
    </row>
    <row r="1325" spans="12:16" x14ac:dyDescent="0.25">
      <c r="L1325" s="75"/>
      <c r="M1325" s="75"/>
      <c r="N1325" s="75"/>
      <c r="O1325" s="75"/>
      <c r="P1325" s="75"/>
    </row>
    <row r="1326" spans="12:16" x14ac:dyDescent="0.25">
      <c r="L1326" s="75"/>
      <c r="M1326" s="75"/>
      <c r="N1326" s="75"/>
      <c r="O1326" s="75"/>
      <c r="P1326" s="75"/>
    </row>
    <row r="1327" spans="12:16" x14ac:dyDescent="0.25">
      <c r="L1327" s="75"/>
      <c r="M1327" s="75"/>
      <c r="N1327" s="75"/>
      <c r="O1327" s="75"/>
      <c r="P1327" s="75"/>
    </row>
    <row r="1328" spans="12:16" x14ac:dyDescent="0.25">
      <c r="L1328" s="75"/>
      <c r="M1328" s="75"/>
      <c r="N1328" s="75"/>
      <c r="O1328" s="75"/>
      <c r="P1328" s="75"/>
    </row>
    <row r="1329" spans="12:16" x14ac:dyDescent="0.25">
      <c r="L1329" s="75"/>
      <c r="M1329" s="75"/>
      <c r="N1329" s="75"/>
      <c r="O1329" s="75"/>
      <c r="P1329" s="75"/>
    </row>
    <row r="1330" spans="12:16" x14ac:dyDescent="0.25">
      <c r="L1330" s="75"/>
      <c r="M1330" s="75"/>
      <c r="N1330" s="75"/>
      <c r="O1330" s="75"/>
      <c r="P1330" s="75"/>
    </row>
    <row r="1331" spans="12:16" x14ac:dyDescent="0.25">
      <c r="L1331" s="75"/>
      <c r="M1331" s="75"/>
      <c r="N1331" s="75"/>
      <c r="O1331" s="75"/>
      <c r="P1331" s="75"/>
    </row>
    <row r="1332" spans="12:16" x14ac:dyDescent="0.25">
      <c r="L1332" s="75"/>
      <c r="M1332" s="75"/>
      <c r="N1332" s="75"/>
      <c r="O1332" s="75"/>
      <c r="P1332" s="75"/>
    </row>
    <row r="1333" spans="12:16" x14ac:dyDescent="0.25">
      <c r="L1333" s="75"/>
      <c r="M1333" s="75"/>
      <c r="N1333" s="75"/>
      <c r="O1333" s="75"/>
      <c r="P1333" s="75"/>
    </row>
    <row r="1334" spans="12:16" x14ac:dyDescent="0.25">
      <c r="L1334" s="75"/>
      <c r="M1334" s="75"/>
      <c r="N1334" s="75"/>
      <c r="O1334" s="75"/>
      <c r="P1334" s="75"/>
    </row>
    <row r="1335" spans="12:16" x14ac:dyDescent="0.25">
      <c r="L1335" s="75"/>
      <c r="M1335" s="75"/>
      <c r="N1335" s="75"/>
      <c r="O1335" s="75"/>
      <c r="P1335" s="75"/>
    </row>
    <row r="1336" spans="12:16" x14ac:dyDescent="0.25">
      <c r="L1336" s="75"/>
      <c r="M1336" s="75"/>
      <c r="N1336" s="75"/>
      <c r="O1336" s="75"/>
      <c r="P1336" s="75"/>
    </row>
    <row r="1337" spans="12:16" x14ac:dyDescent="0.25">
      <c r="L1337" s="75"/>
      <c r="M1337" s="75"/>
      <c r="N1337" s="75"/>
      <c r="O1337" s="75"/>
      <c r="P1337" s="75"/>
    </row>
    <row r="1338" spans="12:16" x14ac:dyDescent="0.25">
      <c r="L1338" s="75"/>
      <c r="M1338" s="75"/>
      <c r="N1338" s="75"/>
      <c r="O1338" s="75"/>
      <c r="P1338" s="75"/>
    </row>
    <row r="1339" spans="12:16" x14ac:dyDescent="0.25">
      <c r="L1339" s="75"/>
      <c r="M1339" s="75"/>
      <c r="N1339" s="75"/>
      <c r="O1339" s="75"/>
      <c r="P1339" s="75"/>
    </row>
    <row r="1340" spans="12:16" x14ac:dyDescent="0.25">
      <c r="L1340" s="75"/>
      <c r="M1340" s="75"/>
      <c r="N1340" s="75"/>
      <c r="O1340" s="75"/>
      <c r="P1340" s="75"/>
    </row>
    <row r="1341" spans="12:16" x14ac:dyDescent="0.25">
      <c r="L1341" s="75"/>
      <c r="M1341" s="75"/>
      <c r="N1341" s="75"/>
      <c r="O1341" s="75"/>
      <c r="P1341" s="75"/>
    </row>
    <row r="1342" spans="12:16" x14ac:dyDescent="0.25">
      <c r="L1342" s="75"/>
      <c r="M1342" s="75"/>
      <c r="N1342" s="75"/>
      <c r="O1342" s="75"/>
      <c r="P1342" s="75"/>
    </row>
    <row r="1343" spans="12:16" x14ac:dyDescent="0.25">
      <c r="L1343" s="75"/>
      <c r="M1343" s="75"/>
      <c r="N1343" s="75"/>
      <c r="O1343" s="75"/>
      <c r="P1343" s="75"/>
    </row>
    <row r="1344" spans="12:16" x14ac:dyDescent="0.25">
      <c r="L1344" s="75"/>
      <c r="M1344" s="75"/>
      <c r="N1344" s="75"/>
      <c r="O1344" s="75"/>
      <c r="P1344" s="75"/>
    </row>
    <row r="1345" spans="12:16" x14ac:dyDescent="0.25">
      <c r="L1345" s="75"/>
      <c r="M1345" s="75"/>
      <c r="N1345" s="75"/>
      <c r="O1345" s="75"/>
      <c r="P1345" s="75"/>
    </row>
    <row r="1346" spans="12:16" x14ac:dyDescent="0.25">
      <c r="L1346" s="75"/>
      <c r="M1346" s="75"/>
      <c r="N1346" s="75"/>
      <c r="O1346" s="75"/>
      <c r="P1346" s="75"/>
    </row>
    <row r="1347" spans="12:16" x14ac:dyDescent="0.25">
      <c r="L1347" s="75"/>
      <c r="M1347" s="75"/>
      <c r="N1347" s="75"/>
      <c r="O1347" s="75"/>
      <c r="P1347" s="75"/>
    </row>
    <row r="1348" spans="12:16" x14ac:dyDescent="0.25">
      <c r="L1348" s="75"/>
      <c r="M1348" s="75"/>
      <c r="N1348" s="75"/>
      <c r="O1348" s="75"/>
      <c r="P1348" s="75"/>
    </row>
    <row r="1349" spans="12:16" x14ac:dyDescent="0.25">
      <c r="L1349" s="75"/>
      <c r="M1349" s="75"/>
      <c r="N1349" s="75"/>
      <c r="O1349" s="75"/>
      <c r="P1349" s="75"/>
    </row>
    <row r="1350" spans="12:16" x14ac:dyDescent="0.25">
      <c r="L1350" s="75"/>
      <c r="M1350" s="75"/>
      <c r="N1350" s="75"/>
      <c r="O1350" s="75"/>
      <c r="P1350" s="75"/>
    </row>
    <row r="1351" spans="12:16" x14ac:dyDescent="0.25">
      <c r="L1351" s="75"/>
      <c r="M1351" s="75"/>
      <c r="N1351" s="75"/>
      <c r="O1351" s="75"/>
      <c r="P1351" s="75"/>
    </row>
    <row r="1352" spans="12:16" x14ac:dyDescent="0.25">
      <c r="L1352" s="75"/>
      <c r="M1352" s="75"/>
      <c r="N1352" s="75"/>
      <c r="O1352" s="75"/>
      <c r="P1352" s="75"/>
    </row>
    <row r="1353" spans="12:16" x14ac:dyDescent="0.25">
      <c r="L1353" s="75"/>
      <c r="M1353" s="75"/>
      <c r="N1353" s="75"/>
      <c r="O1353" s="75"/>
      <c r="P1353" s="75"/>
    </row>
    <row r="1354" spans="12:16" x14ac:dyDescent="0.25">
      <c r="L1354" s="75"/>
      <c r="M1354" s="75"/>
      <c r="N1354" s="75"/>
      <c r="O1354" s="75"/>
      <c r="P1354" s="75"/>
    </row>
    <row r="1355" spans="12:16" x14ac:dyDescent="0.25">
      <c r="L1355" s="75"/>
      <c r="M1355" s="75"/>
      <c r="N1355" s="75"/>
      <c r="O1355" s="75"/>
      <c r="P1355" s="75"/>
    </row>
    <row r="1356" spans="12:16" x14ac:dyDescent="0.25">
      <c r="L1356" s="75"/>
      <c r="M1356" s="75"/>
      <c r="N1356" s="75"/>
      <c r="O1356" s="75"/>
      <c r="P1356" s="75"/>
    </row>
    <row r="1357" spans="12:16" x14ac:dyDescent="0.25">
      <c r="L1357" s="75"/>
      <c r="M1357" s="75"/>
      <c r="N1357" s="75"/>
      <c r="O1357" s="75"/>
      <c r="P1357" s="75"/>
    </row>
  </sheetData>
  <sheetProtection formatCells="0" insertRows="0" autoFilter="0" pivotTables="0"/>
  <autoFilter ref="A3:P248" xr:uid="{CCDEBCF0-CEC9-47C7-BCF3-3ED589E95F77}">
    <sortState xmlns:xlrd2="http://schemas.microsoft.com/office/spreadsheetml/2017/richdata2" ref="A4:P248">
      <sortCondition ref="B4:B248"/>
      <sortCondition ref="C4:C248"/>
    </sortState>
  </autoFilter>
  <sortState xmlns:xlrd2="http://schemas.microsoft.com/office/spreadsheetml/2017/richdata2" ref="A4:CA248">
    <sortCondition ref="L4:L248"/>
  </sortState>
  <conditionalFormatting sqref="A1:A1048576">
    <cfRule type="duplicateValues" dxfId="32" priority="23"/>
  </conditionalFormatting>
  <conditionalFormatting sqref="J1:J1048576">
    <cfRule type="expression" dxfId="31" priority="22">
      <formula>AND(ISNUMBER(J1), J1 &lt;= DATE(2026,6,30))</formula>
    </cfRule>
  </conditionalFormatting>
  <conditionalFormatting sqref="L1:P1">
    <cfRule type="cellIs" dxfId="30" priority="1" operator="lessThan">
      <formula>-5001</formula>
    </cfRule>
    <cfRule type="cellIs" dxfId="29" priority="2" operator="between">
      <formula>-0.01</formula>
      <formula>-5000</formula>
    </cfRule>
  </conditionalFormatting>
  <conditionalFormatting sqref="L4:P248 L282:P1637">
    <cfRule type="expression" dxfId="28" priority="18">
      <formula>L4&lt;0</formula>
    </cfRule>
  </conditionalFormatting>
  <dataValidations count="1">
    <dataValidation type="list" allowBlank="1" showInputMessage="1" showErrorMessage="1" sqref="H19:H25 H28:H31 H13 H33:H40 H145 H191:H194 H142:H143 H153:H166 H44:H140" xr:uid="{594E9A26-650C-4280-9913-5F2DA9571947}">
      <formula1>luType</formula1>
    </dataValidation>
  </dataValidations>
  <hyperlinks>
    <hyperlink ref="E25" r:id="rId1" display="Business Case: C205 Navi" xr:uid="{3647CC6C-A7D2-44DC-AA53-4FBD1ABDBAB6}"/>
    <hyperlink ref="E24" r:id="rId2" xr:uid="{7247090B-362C-4644-A2A7-AAF86B9A5931}"/>
    <hyperlink ref="E177" r:id="rId3" display="Business Case: C205 Navi" xr:uid="{5709204D-8431-4E56-9E7D-6384FFEE05E5}"/>
  </hyperlinks>
  <pageMargins left="0.7" right="0.7" top="0.75" bottom="0.75" header="0.3" footer="0.3"/>
  <pageSetup orientation="portrait" r:id="rId4"/>
  <headerFooter>
    <oddFooter>&amp;L_x000D_&amp;1#&amp;"Aptos"&amp;10&amp;K000000 Confidential</oddFooter>
  </headerFooter>
  <legacy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2587a4-fbec-4ab4-b526-a7653325871e" xsi:nil="true"/>
    <lcf76f155ced4ddcb4097134ff3c332f xmlns="2ca25662-5356-40a6-aaaa-863d883290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C7CF0388ED4F88C4DBEF9926249F" ma:contentTypeVersion="12" ma:contentTypeDescription="Create a new document." ma:contentTypeScope="" ma:versionID="b45cfff19f7b311dfc9bdbd1c7798bc9">
  <xsd:schema xmlns:xsd="http://www.w3.org/2001/XMLSchema" xmlns:xs="http://www.w3.org/2001/XMLSchema" xmlns:p="http://schemas.microsoft.com/office/2006/metadata/properties" xmlns:ns2="2ca25662-5356-40a6-aaaa-863d88329071" xmlns:ns3="d22587a4-fbec-4ab4-b526-a7653325871e" targetNamespace="http://schemas.microsoft.com/office/2006/metadata/properties" ma:root="true" ma:fieldsID="7fb1e18bc4920fd052a5aa2a853b5ed8" ns2:_="" ns3:_="">
    <xsd:import namespace="2ca25662-5356-40a6-aaaa-863d88329071"/>
    <xsd:import namespace="d22587a4-fbec-4ab4-b526-a765332587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25662-5356-40a6-aaaa-863d883290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183e9f8-4c2c-49c8-a6e3-eb683d0e89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2587a4-fbec-4ab4-b526-a7653325871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4d2559-87b1-4e25-b4df-faa6bbccbedd}" ma:internalName="TaxCatchAll" ma:showField="CatchAllData" ma:web="d22587a4-fbec-4ab4-b526-a765332587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7E3BEF-901D-4ABB-9E45-02D9147E0C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EA643B-7748-4037-984E-A6B065CB1919}">
  <ds:schemaRefs>
    <ds:schemaRef ds:uri="http://schemas.openxmlformats.org/package/2006/metadata/core-properties"/>
    <ds:schemaRef ds:uri="http://www.w3.org/XML/1998/namespace"/>
    <ds:schemaRef ds:uri="2ca25662-5356-40a6-aaaa-863d88329071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d22587a4-fbec-4ab4-b526-a7653325871e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28D5C3A-F60F-4347-BF24-37EBE8854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25662-5356-40a6-aaaa-863d88329071"/>
    <ds:schemaRef ds:uri="d22587a4-fbec-4ab4-b526-a76533258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Fake Live Dashboard</vt:lpstr>
      <vt:lpstr>Snapshot Wk 1</vt:lpstr>
      <vt:lpstr>Snapshot Wk 2</vt:lpstr>
      <vt:lpstr>Fake Simplified View</vt:lpstr>
      <vt:lpstr>Summary JT</vt:lpstr>
      <vt:lpstr>FY27 Budget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Gavin Harris</dc:creator>
  <cp:keywords/>
  <dc:description/>
  <cp:lastModifiedBy>Ari Maidenberg</cp:lastModifiedBy>
  <cp:revision/>
  <dcterms:created xsi:type="dcterms:W3CDTF">2026-07-06T01:00:07Z</dcterms:created>
  <dcterms:modified xsi:type="dcterms:W3CDTF">2026-08-19T00:06:40Z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0x0101009253C7CF0388ED4F88C4DBEF9926249F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